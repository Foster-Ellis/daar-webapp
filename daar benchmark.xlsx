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lis\Desktop\daar-webapp\"/>
    </mc:Choice>
  </mc:AlternateContent>
  <xr:revisionPtr revIDLastSave="0" documentId="8_{FB1C6EA0-B377-47C3-AA68-363A1A308A9C}" xr6:coauthVersionLast="47" xr6:coauthVersionMax="47" xr10:uidLastSave="{00000000-0000-0000-0000-000000000000}"/>
  <bookViews>
    <workbookView xWindow="-120" yWindow="-120" windowWidth="38640" windowHeight="21120" xr2:uid="{7010A5EB-5F96-45A4-A98D-7AE0C67F1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1" l="1"/>
  <c r="G100" i="1"/>
  <c r="F100" i="1"/>
  <c r="E100" i="1"/>
  <c r="D100" i="1"/>
  <c r="C100" i="1"/>
  <c r="L99" i="1"/>
  <c r="L100" i="1" s="1"/>
  <c r="K99" i="1"/>
  <c r="K100" i="1" s="1"/>
  <c r="J99" i="1"/>
  <c r="J100" i="1" s="1"/>
  <c r="I99" i="1"/>
  <c r="I100" i="1" s="1"/>
  <c r="H99" i="1"/>
  <c r="G99" i="1"/>
  <c r="F99" i="1"/>
  <c r="E99" i="1"/>
  <c r="D99" i="1"/>
  <c r="C99" i="1"/>
  <c r="L98" i="1"/>
  <c r="K98" i="1"/>
  <c r="J98" i="1"/>
  <c r="I98" i="1"/>
  <c r="H98" i="1"/>
  <c r="G98" i="1"/>
  <c r="F98" i="1"/>
  <c r="E98" i="1"/>
  <c r="D98" i="1"/>
  <c r="C98" i="1"/>
  <c r="L64" i="1"/>
  <c r="K64" i="1"/>
  <c r="J64" i="1"/>
  <c r="I64" i="1"/>
  <c r="H64" i="1"/>
  <c r="H65" i="1" s="1"/>
  <c r="G64" i="1"/>
  <c r="G65" i="1" s="1"/>
  <c r="F64" i="1"/>
  <c r="F65" i="1" s="1"/>
  <c r="E64" i="1"/>
  <c r="E65" i="1" s="1"/>
  <c r="D64" i="1"/>
  <c r="D65" i="1" s="1"/>
  <c r="C64" i="1"/>
  <c r="C65" i="1" s="1"/>
  <c r="L63" i="1"/>
  <c r="L65" i="1" s="1"/>
  <c r="K63" i="1"/>
  <c r="K65" i="1" s="1"/>
  <c r="J63" i="1"/>
  <c r="J65" i="1" s="1"/>
  <c r="I63" i="1"/>
  <c r="I65" i="1" s="1"/>
  <c r="H63" i="1"/>
  <c r="G63" i="1"/>
  <c r="F63" i="1"/>
  <c r="E63" i="1"/>
  <c r="D63" i="1"/>
  <c r="C63" i="1"/>
  <c r="L37" i="1"/>
  <c r="K37" i="1"/>
  <c r="J37" i="1"/>
  <c r="I37" i="1"/>
  <c r="H37" i="1"/>
  <c r="H38" i="1" s="1"/>
  <c r="G37" i="1"/>
  <c r="G38" i="1" s="1"/>
  <c r="F37" i="1"/>
  <c r="F38" i="1" s="1"/>
  <c r="E37" i="1"/>
  <c r="E38" i="1" s="1"/>
  <c r="D37" i="1"/>
  <c r="D38" i="1" s="1"/>
  <c r="C37" i="1"/>
  <c r="C38" i="1" s="1"/>
  <c r="L36" i="1"/>
  <c r="L38" i="1" s="1"/>
  <c r="K36" i="1"/>
  <c r="K38" i="1" s="1"/>
  <c r="J36" i="1"/>
  <c r="J38" i="1" s="1"/>
  <c r="I36" i="1"/>
  <c r="I38" i="1" s="1"/>
  <c r="H36" i="1"/>
  <c r="G36" i="1"/>
  <c r="F36" i="1"/>
  <c r="E36" i="1"/>
  <c r="D36" i="1"/>
  <c r="C36" i="1"/>
  <c r="D12" i="1"/>
  <c r="E12" i="1"/>
  <c r="F12" i="1"/>
  <c r="G12" i="1"/>
  <c r="H12" i="1"/>
  <c r="I12" i="1"/>
  <c r="J12" i="1"/>
  <c r="K12" i="1"/>
  <c r="L12" i="1"/>
  <c r="C12" i="1"/>
  <c r="D10" i="1"/>
  <c r="E10" i="1"/>
  <c r="F10" i="1"/>
  <c r="G10" i="1"/>
  <c r="H10" i="1"/>
  <c r="I10" i="1"/>
  <c r="J10" i="1"/>
  <c r="K10" i="1"/>
  <c r="L10" i="1"/>
  <c r="D11" i="1"/>
  <c r="E11" i="1"/>
  <c r="F11" i="1"/>
  <c r="G11" i="1"/>
  <c r="H11" i="1"/>
  <c r="I11" i="1"/>
  <c r="J11" i="1"/>
  <c r="K11" i="1"/>
  <c r="L11" i="1"/>
  <c r="C11" i="1"/>
  <c r="C10" i="1"/>
  <c r="L103" i="1"/>
  <c r="K103" i="1"/>
  <c r="J103" i="1"/>
  <c r="I103" i="1"/>
  <c r="H103" i="1"/>
  <c r="G103" i="1"/>
  <c r="F103" i="1"/>
  <c r="E103" i="1"/>
  <c r="D103" i="1"/>
  <c r="C103" i="1"/>
  <c r="L68" i="1"/>
  <c r="K68" i="1"/>
  <c r="J68" i="1"/>
  <c r="I68" i="1"/>
  <c r="H68" i="1"/>
  <c r="G68" i="1"/>
  <c r="F68" i="1"/>
  <c r="E68" i="1"/>
  <c r="D68" i="1"/>
  <c r="C68" i="1"/>
  <c r="L41" i="1"/>
  <c r="K41" i="1"/>
  <c r="J41" i="1"/>
  <c r="I41" i="1"/>
  <c r="H41" i="1"/>
  <c r="G41" i="1"/>
  <c r="F41" i="1"/>
  <c r="E41" i="1"/>
  <c r="D41" i="1"/>
  <c r="C41" i="1"/>
  <c r="D15" i="1"/>
  <c r="E15" i="1"/>
  <c r="F15" i="1"/>
  <c r="G15" i="1"/>
  <c r="H15" i="1"/>
  <c r="I15" i="1"/>
  <c r="J15" i="1"/>
  <c r="K15" i="1"/>
  <c r="L15" i="1"/>
  <c r="C15" i="1"/>
  <c r="D40" i="1"/>
  <c r="C40" i="1"/>
  <c r="D67" i="1"/>
  <c r="C67" i="1"/>
  <c r="L102" i="1"/>
  <c r="K102" i="1"/>
  <c r="J102" i="1"/>
  <c r="I102" i="1"/>
  <c r="H102" i="1"/>
  <c r="G102" i="1"/>
  <c r="F102" i="1"/>
  <c r="E102" i="1"/>
  <c r="D102" i="1"/>
  <c r="C102" i="1"/>
  <c r="L67" i="1"/>
  <c r="K67" i="1"/>
  <c r="J67" i="1"/>
  <c r="I67" i="1"/>
  <c r="H67" i="1"/>
  <c r="G67" i="1"/>
  <c r="F67" i="1"/>
  <c r="E67" i="1"/>
  <c r="L40" i="1"/>
  <c r="K40" i="1"/>
  <c r="J40" i="1"/>
  <c r="I40" i="1"/>
  <c r="H40" i="1"/>
  <c r="G40" i="1"/>
  <c r="F40" i="1"/>
  <c r="E40" i="1"/>
  <c r="D14" i="1"/>
  <c r="E14" i="1"/>
  <c r="F14" i="1"/>
  <c r="G14" i="1"/>
  <c r="H14" i="1"/>
  <c r="I14" i="1"/>
  <c r="J14" i="1"/>
  <c r="K14" i="1"/>
  <c r="L14" i="1"/>
  <c r="C14" i="1"/>
</calcChain>
</file>

<file path=xl/sharedStrings.xml><?xml version="1.0" encoding="utf-8"?>
<sst xmlns="http://schemas.openxmlformats.org/spreadsheetml/2006/main" count="88" uniqueCount="25">
  <si>
    <t>occurences keyworid</t>
  </si>
  <si>
    <t>time 1</t>
  </si>
  <si>
    <t>time 2</t>
  </si>
  <si>
    <t>time 3</t>
  </si>
  <si>
    <t>time 4</t>
  </si>
  <si>
    <t>time 5</t>
  </si>
  <si>
    <t>time 6</t>
  </si>
  <si>
    <t>average</t>
  </si>
  <si>
    <t>std</t>
  </si>
  <si>
    <t>length 1</t>
  </si>
  <si>
    <t>length 2</t>
  </si>
  <si>
    <t>length 3</t>
  </si>
  <si>
    <t>length 4</t>
  </si>
  <si>
    <t>length 5</t>
  </si>
  <si>
    <t>length 6</t>
  </si>
  <si>
    <t>length 7</t>
  </si>
  <si>
    <t>length 8</t>
  </si>
  <si>
    <t>length 9</t>
  </si>
  <si>
    <t>length 10</t>
  </si>
  <si>
    <t>mean+std</t>
  </si>
  <si>
    <t>mean-std</t>
  </si>
  <si>
    <t>band height</t>
  </si>
  <si>
    <t>closeness keyworid</t>
  </si>
  <si>
    <t>occurences regex</t>
  </si>
  <si>
    <t>closeness regex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</si>
</sst>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time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Sheet1!$C$3:$L$3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Sheet1!$C$4:$L$4</c:f>
              <c:numCache>
                <c:formatCode>General</c:formatCode>
                <c:ptCount val="10"/>
                <c:pt idx="0">
                  <c:v>0.84402200000000005</c:v>
                </c:pt>
                <c:pt idx="1">
                  <c:v>0.70892500000000003</c:v>
                </c:pt>
                <c:pt idx="2">
                  <c:v>0.74432399999999999</c:v>
                </c:pt>
                <c:pt idx="3">
                  <c:v>0.69279299999999999</c:v>
                </c:pt>
                <c:pt idx="4">
                  <c:v>0.71146500000000001</c:v>
                </c:pt>
                <c:pt idx="5">
                  <c:v>0.652891</c:v>
                </c:pt>
                <c:pt idx="6">
                  <c:v>0.64742</c:v>
                </c:pt>
                <c:pt idx="7">
                  <c:v>0.77159699999999998</c:v>
                </c:pt>
                <c:pt idx="8">
                  <c:v>0.70492100000000002</c:v>
                </c:pt>
                <c:pt idx="9">
                  <c:v>0.73724500000000004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7-4FA8-9B61-84CDE0BBB6CB}"/>
            </c:ext>
          </c:extLst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time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Sheet1!$C$3:$L$3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Sheet1!$C$5:$L$5</c:f>
              <c:numCache>
                <c:formatCode>General</c:formatCode>
                <c:ptCount val="10"/>
                <c:pt idx="0">
                  <c:v>0.69612700000000005</c:v>
                </c:pt>
                <c:pt idx="1">
                  <c:v>0.65464599999999995</c:v>
                </c:pt>
                <c:pt idx="2">
                  <c:v>0.76197899999999996</c:v>
                </c:pt>
                <c:pt idx="3">
                  <c:v>0.67706</c:v>
                </c:pt>
                <c:pt idx="4">
                  <c:v>0.67926399999999998</c:v>
                </c:pt>
                <c:pt idx="5">
                  <c:v>0.70706199999999997</c:v>
                </c:pt>
                <c:pt idx="6">
                  <c:v>0.64993500000000004</c:v>
                </c:pt>
                <c:pt idx="7">
                  <c:v>0.66179399999999999</c:v>
                </c:pt>
                <c:pt idx="8">
                  <c:v>0.68419099999999999</c:v>
                </c:pt>
                <c:pt idx="9">
                  <c:v>0.70044399999999996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17-4FA8-9B61-84CDE0BBB6CB}"/>
            </c:ext>
          </c:extLst>
        </c:ser>
        <c:ser>
          <c:idx val="2"/>
          <c:order val="2"/>
          <c:tx>
            <c:strRef>
              <c:f>Sheet1!$B$6</c:f>
              <c:strCache>
                <c:ptCount val="1"/>
                <c:pt idx="0">
                  <c:v>time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Sheet1!$C$3:$L$3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Sheet1!$C$6:$L$6</c:f>
              <c:numCache>
                <c:formatCode>General</c:formatCode>
                <c:ptCount val="10"/>
                <c:pt idx="0">
                  <c:v>0.66743799999999998</c:v>
                </c:pt>
                <c:pt idx="1">
                  <c:v>0.70714200000000005</c:v>
                </c:pt>
                <c:pt idx="2">
                  <c:v>0.72197699999999998</c:v>
                </c:pt>
                <c:pt idx="3">
                  <c:v>0.72357499999999997</c:v>
                </c:pt>
                <c:pt idx="4">
                  <c:v>0.690029</c:v>
                </c:pt>
                <c:pt idx="5">
                  <c:v>0.61022500000000002</c:v>
                </c:pt>
                <c:pt idx="6">
                  <c:v>0.63480899999999996</c:v>
                </c:pt>
                <c:pt idx="7">
                  <c:v>0.73097500000000004</c:v>
                </c:pt>
                <c:pt idx="8">
                  <c:v>0.69753200000000004</c:v>
                </c:pt>
                <c:pt idx="9">
                  <c:v>0.74813700000000005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17-4FA8-9B61-84CDE0BBB6CB}"/>
            </c:ext>
          </c:extLst>
        </c:ser>
        <c:ser>
          <c:idx val="3"/>
          <c:order val="3"/>
          <c:tx>
            <c:strRef>
              <c:f>Sheet1!$B$7</c:f>
              <c:strCache>
                <c:ptCount val="1"/>
                <c:pt idx="0">
                  <c:v>time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Sheet1!$C$3:$L$3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Sheet1!$C$7:$L$7</c:f>
              <c:numCache>
                <c:formatCode>General</c:formatCode>
                <c:ptCount val="10"/>
                <c:pt idx="0">
                  <c:v>0.69531600000000005</c:v>
                </c:pt>
                <c:pt idx="1">
                  <c:v>0.76642100000000002</c:v>
                </c:pt>
                <c:pt idx="2">
                  <c:v>0.72239200000000003</c:v>
                </c:pt>
                <c:pt idx="3">
                  <c:v>0.64518500000000001</c:v>
                </c:pt>
                <c:pt idx="4">
                  <c:v>0.69485200000000003</c:v>
                </c:pt>
                <c:pt idx="5">
                  <c:v>0.71136500000000003</c:v>
                </c:pt>
                <c:pt idx="6">
                  <c:v>0.64938499999999999</c:v>
                </c:pt>
                <c:pt idx="7">
                  <c:v>0.72096700000000002</c:v>
                </c:pt>
                <c:pt idx="8">
                  <c:v>0.72298399999999996</c:v>
                </c:pt>
                <c:pt idx="9">
                  <c:v>0.72200200000000003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17-4FA8-9B61-84CDE0BBB6CB}"/>
            </c:ext>
          </c:extLst>
        </c:ser>
        <c:ser>
          <c:idx val="4"/>
          <c:order val="4"/>
          <c:tx>
            <c:strRef>
              <c:f>Sheet1!$B$8</c:f>
              <c:strCache>
                <c:ptCount val="1"/>
                <c:pt idx="0">
                  <c:v>time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Sheet1!$C$3:$L$3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Sheet1!$C$8:$L$8</c:f>
              <c:numCache>
                <c:formatCode>General</c:formatCode>
                <c:ptCount val="10"/>
                <c:pt idx="0">
                  <c:v>0.68583799999999995</c:v>
                </c:pt>
                <c:pt idx="1">
                  <c:v>0.68416999999999994</c:v>
                </c:pt>
                <c:pt idx="2">
                  <c:v>0.68477900000000003</c:v>
                </c:pt>
                <c:pt idx="3">
                  <c:v>0.63280099999999995</c:v>
                </c:pt>
                <c:pt idx="4">
                  <c:v>0.67488099999999995</c:v>
                </c:pt>
                <c:pt idx="5">
                  <c:v>0.75197400000000003</c:v>
                </c:pt>
                <c:pt idx="6">
                  <c:v>0.68794</c:v>
                </c:pt>
                <c:pt idx="7">
                  <c:v>0.71253299999999997</c:v>
                </c:pt>
                <c:pt idx="8">
                  <c:v>0.71384599999999998</c:v>
                </c:pt>
                <c:pt idx="9">
                  <c:v>0.69090799999999997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17-4FA8-9B61-84CDE0BBB6CB}"/>
            </c:ext>
          </c:extLst>
        </c:ser>
        <c:ser>
          <c:idx val="5"/>
          <c:order val="5"/>
          <c:tx>
            <c:strRef>
              <c:f>Sheet1!$B$9</c:f>
              <c:strCache>
                <c:ptCount val="1"/>
                <c:pt idx="0">
                  <c:v>time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Sheet1!$C$3:$L$3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Sheet1!$C$9:$L$9</c:f>
              <c:numCache>
                <c:formatCode>General</c:formatCode>
                <c:ptCount val="10"/>
                <c:pt idx="0">
                  <c:v>0.65095199999999998</c:v>
                </c:pt>
                <c:pt idx="1">
                  <c:v>0.63414000000000004</c:v>
                </c:pt>
                <c:pt idx="2">
                  <c:v>0.71315399999999995</c:v>
                </c:pt>
                <c:pt idx="3">
                  <c:v>0.61582999999999999</c:v>
                </c:pt>
                <c:pt idx="4">
                  <c:v>0.71559399999999995</c:v>
                </c:pt>
                <c:pt idx="5">
                  <c:v>0.72627200000000003</c:v>
                </c:pt>
                <c:pt idx="6">
                  <c:v>0.65687200000000001</c:v>
                </c:pt>
                <c:pt idx="7">
                  <c:v>0.69590200000000002</c:v>
                </c:pt>
                <c:pt idx="8">
                  <c:v>0.68150900000000003</c:v>
                </c:pt>
                <c:pt idx="9">
                  <c:v>0.72298399999999996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17-4FA8-9B61-84CDE0BBB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109839"/>
        <c:axId val="1096109359"/>
      </c:lineChart>
      <c:catAx>
        <c:axId val="109610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6109359"/>
        <c:crosses val="autoZero"/>
        <c:auto val="1"/>
        <c:lblAlgn val="ctr"/>
        <c:lblOffset val="100"/>
        <c:noMultiLvlLbl val="0"/>
      </c:catAx>
      <c:valAx>
        <c:axId val="109610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610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Sheet1!$C$14:$L$14</c:f>
              <c:numCache>
                <c:formatCode>General</c:formatCode>
                <c:ptCount val="10"/>
                <c:pt idx="0">
                  <c:v>0.70661549999999995</c:v>
                </c:pt>
                <c:pt idx="1">
                  <c:v>0.69257400000000002</c:v>
                </c:pt>
                <c:pt idx="2">
                  <c:v>0.72476750000000001</c:v>
                </c:pt>
                <c:pt idx="3">
                  <c:v>0.66454066666666656</c:v>
                </c:pt>
                <c:pt idx="4">
                  <c:v>0.69434750000000001</c:v>
                </c:pt>
                <c:pt idx="5">
                  <c:v>0.69329816666666666</c:v>
                </c:pt>
                <c:pt idx="6">
                  <c:v>0.65439349999999996</c:v>
                </c:pt>
                <c:pt idx="7">
                  <c:v>0.71562800000000004</c:v>
                </c:pt>
                <c:pt idx="8">
                  <c:v>0.70083049999999991</c:v>
                </c:pt>
                <c:pt idx="9">
                  <c:v>0.72028666666666663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0-48CB-98DF-D25ADC951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817631"/>
        <c:axId val="969809471"/>
      </c:lineChart>
      <c:catAx>
        <c:axId val="969817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9809471"/>
        <c:crosses val="autoZero"/>
        <c:auto val="1"/>
        <c:lblAlgn val="ctr"/>
        <c:lblOffset val="100"/>
        <c:noMultiLvlLbl val="0"/>
      </c:catAx>
      <c:valAx>
        <c:axId val="9698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981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spPr>
            <a:noFill/>
            <a:ln>
              <a:noFill/>
            </a:ln>
            <a:effectLst/>
          </c:spPr>
          <c:val>
            <c:numRef>
              <c:f>Sheet1!$C$11:$L$11</c:f>
              <c:numCache>
                <c:formatCode>General</c:formatCode>
                <c:ptCount val="10"/>
                <c:pt idx="0">
                  <c:v>0.63706948671454988</c:v>
                </c:pt>
                <c:pt idx="1">
                  <c:v>0.64597645931382219</c:v>
                </c:pt>
                <c:pt idx="2">
                  <c:v>0.69825510354287079</c:v>
                </c:pt>
                <c:pt idx="3">
                  <c:v>0.62405669977276312</c:v>
                </c:pt>
                <c:pt idx="4">
                  <c:v>0.677795864881378</c:v>
                </c:pt>
                <c:pt idx="5">
                  <c:v>0.64118315766765888</c:v>
                </c:pt>
                <c:pt idx="6">
                  <c:v>0.63645663148010501</c:v>
                </c:pt>
                <c:pt idx="7">
                  <c:v>0.67904013876707203</c:v>
                </c:pt>
                <c:pt idx="8">
                  <c:v>0.68447209899317774</c:v>
                </c:pt>
                <c:pt idx="9">
                  <c:v>0.69869832913301977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5-4906-A917-D5F927EEC0E4}"/>
            </c:ext>
          </c:extLst>
        </c:ser>
        <c:ser>
          <c:idx val="2"/>
          <c:order val="2"/>
          <c:tx>
            <c:strRef>
              <c:f>Sheet1!$B$12</c:f>
              <c:strCache>
                <c:ptCount val="1"/>
                <c:pt idx="0">
                  <c:v>band height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Sheet1!$C$12:$L$12</c:f>
              <c:numCache>
                <c:formatCode>General</c:formatCode>
                <c:ptCount val="10"/>
                <c:pt idx="0">
                  <c:v>0.13909202657090014</c:v>
                </c:pt>
                <c:pt idx="1">
                  <c:v>9.3195081372355659E-2</c:v>
                </c:pt>
                <c:pt idx="2">
                  <c:v>5.3024792914258434E-2</c:v>
                </c:pt>
                <c:pt idx="3">
                  <c:v>8.0967933787806867E-2</c:v>
                </c:pt>
                <c:pt idx="4">
                  <c:v>3.310327023724402E-2</c:v>
                </c:pt>
                <c:pt idx="5">
                  <c:v>0.10423001799801557</c:v>
                </c:pt>
                <c:pt idx="6">
                  <c:v>3.587373703978991E-2</c:v>
                </c:pt>
                <c:pt idx="7">
                  <c:v>7.3175722465856019E-2</c:v>
                </c:pt>
                <c:pt idx="8">
                  <c:v>3.2716802013644353E-2</c:v>
                </c:pt>
                <c:pt idx="9">
                  <c:v>4.3176675067293724E-2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75-4906-A917-D5F927EEC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267327"/>
        <c:axId val="819266847"/>
      </c:areaChart>
      <c:lineChart>
        <c:grouping val="standar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mean+std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Sheet1!$C$3:$L$3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Sheet1!$C$10:$L$10</c:f>
              <c:numCache>
                <c:formatCode>General</c:formatCode>
                <c:ptCount val="10"/>
                <c:pt idx="0">
                  <c:v>0.77616151328545002</c:v>
                </c:pt>
                <c:pt idx="1">
                  <c:v>0.73917154068617785</c:v>
                </c:pt>
                <c:pt idx="2">
                  <c:v>0.75127989645712923</c:v>
                </c:pt>
                <c:pt idx="3">
                  <c:v>0.70502463356056999</c:v>
                </c:pt>
                <c:pt idx="4">
                  <c:v>0.71089913511862202</c:v>
                </c:pt>
                <c:pt idx="5">
                  <c:v>0.74541317566567444</c:v>
                </c:pt>
                <c:pt idx="6">
                  <c:v>0.67233036851989492</c:v>
                </c:pt>
                <c:pt idx="7">
                  <c:v>0.75221586123292805</c:v>
                </c:pt>
                <c:pt idx="8">
                  <c:v>0.71718890100682209</c:v>
                </c:pt>
                <c:pt idx="9">
                  <c:v>0.74187500420031349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5-4906-A917-D5F927EEC0E4}"/>
            </c:ext>
          </c:extLst>
        </c:ser>
        <c:ser>
          <c:idx val="4"/>
          <c:order val="3"/>
          <c:tx>
            <c:strRef>
              <c:f>Sheet1!$B$14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Sheet1!$C$3:$L$3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Sheet1!$C$14:$L$14</c:f>
              <c:numCache>
                <c:formatCode>General</c:formatCode>
                <c:ptCount val="10"/>
                <c:pt idx="0">
                  <c:v>0.70661549999999995</c:v>
                </c:pt>
                <c:pt idx="1">
                  <c:v>0.69257400000000002</c:v>
                </c:pt>
                <c:pt idx="2">
                  <c:v>0.72476750000000001</c:v>
                </c:pt>
                <c:pt idx="3">
                  <c:v>0.66454066666666656</c:v>
                </c:pt>
                <c:pt idx="4">
                  <c:v>0.69434750000000001</c:v>
                </c:pt>
                <c:pt idx="5">
                  <c:v>0.69329816666666666</c:v>
                </c:pt>
                <c:pt idx="6">
                  <c:v>0.65439349999999996</c:v>
                </c:pt>
                <c:pt idx="7">
                  <c:v>0.71562800000000004</c:v>
                </c:pt>
                <c:pt idx="8">
                  <c:v>0.70083049999999991</c:v>
                </c:pt>
                <c:pt idx="9">
                  <c:v>0.72028666666666663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75-4906-A917-D5F927EEC0E4}"/>
            </c:ext>
          </c:extLst>
        </c:ser>
        <c:ser>
          <c:idx val="3"/>
          <c:order val="4"/>
          <c:tx>
            <c:v>mean-stf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Sheet1!$C$3:$L$3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Sheet1!$C$11:$L$11</c:f>
              <c:numCache>
                <c:formatCode>General</c:formatCode>
                <c:ptCount val="10"/>
                <c:pt idx="0">
                  <c:v>0.63706948671454988</c:v>
                </c:pt>
                <c:pt idx="1">
                  <c:v>0.64597645931382219</c:v>
                </c:pt>
                <c:pt idx="2">
                  <c:v>0.69825510354287079</c:v>
                </c:pt>
                <c:pt idx="3">
                  <c:v>0.62405669977276312</c:v>
                </c:pt>
                <c:pt idx="4">
                  <c:v>0.677795864881378</c:v>
                </c:pt>
                <c:pt idx="5">
                  <c:v>0.64118315766765888</c:v>
                </c:pt>
                <c:pt idx="6">
                  <c:v>0.63645663148010501</c:v>
                </c:pt>
                <c:pt idx="7">
                  <c:v>0.67904013876707203</c:v>
                </c:pt>
                <c:pt idx="8">
                  <c:v>0.68447209899317774</c:v>
                </c:pt>
                <c:pt idx="9">
                  <c:v>0.69869832913301977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75-4906-A917-D5F927EEC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267327"/>
        <c:axId val="819266847"/>
      </c:lineChart>
      <c:catAx>
        <c:axId val="819267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266847"/>
        <c:crosses val="autoZero"/>
        <c:auto val="1"/>
        <c:lblAlgn val="ctr"/>
        <c:lblOffset val="100"/>
        <c:noMultiLvlLbl val="0"/>
      </c:catAx>
      <c:valAx>
        <c:axId val="81926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26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Sheet1!$B$30</c:f>
              <c:strCache>
                <c:ptCount val="1"/>
                <c:pt idx="0">
                  <c:v>time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Sheet1!$C$29:$L$29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Sheet1!$C$30:$L$30</c:f>
              <c:numCache>
                <c:formatCode>General</c:formatCode>
                <c:ptCount val="10"/>
                <c:pt idx="0">
                  <c:v>0.64336300000000002</c:v>
                </c:pt>
                <c:pt idx="1">
                  <c:v>0.655111</c:v>
                </c:pt>
                <c:pt idx="2">
                  <c:v>3.9745870000000001</c:v>
                </c:pt>
                <c:pt idx="3">
                  <c:v>4.087777</c:v>
                </c:pt>
                <c:pt idx="4">
                  <c:v>4.4234999999999998</c:v>
                </c:pt>
                <c:pt idx="5">
                  <c:v>3.9491800000000001</c:v>
                </c:pt>
                <c:pt idx="6">
                  <c:v>0.73430399999999996</c:v>
                </c:pt>
                <c:pt idx="7">
                  <c:v>3.9438249999999999</c:v>
                </c:pt>
                <c:pt idx="8">
                  <c:v>4.2503149999999996</c:v>
                </c:pt>
                <c:pt idx="9">
                  <c:v>1.023428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94-444D-B84B-3CE6485798B4}"/>
            </c:ext>
          </c:extLst>
        </c:ser>
        <c:ser>
          <c:idx val="1"/>
          <c:order val="1"/>
          <c:tx>
            <c:strRef>
              <c:f>Sheet1!$B$31</c:f>
              <c:strCache>
                <c:ptCount val="1"/>
                <c:pt idx="0">
                  <c:v>time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Sheet1!$C$29:$L$29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Sheet1!$C$31:$L$31</c:f>
              <c:numCache>
                <c:formatCode>General</c:formatCode>
                <c:ptCount val="10"/>
                <c:pt idx="0">
                  <c:v>0.68437499999999996</c:v>
                </c:pt>
                <c:pt idx="1">
                  <c:v>0.65191600000000005</c:v>
                </c:pt>
                <c:pt idx="2">
                  <c:v>0.66342299999999998</c:v>
                </c:pt>
                <c:pt idx="3">
                  <c:v>0.70268299999999995</c:v>
                </c:pt>
                <c:pt idx="4">
                  <c:v>4.0645740000000004</c:v>
                </c:pt>
                <c:pt idx="5">
                  <c:v>0.64803699999999997</c:v>
                </c:pt>
                <c:pt idx="6">
                  <c:v>0.72913300000000003</c:v>
                </c:pt>
                <c:pt idx="7">
                  <c:v>3.9154620000000002</c:v>
                </c:pt>
                <c:pt idx="8">
                  <c:v>4.0144710000000003</c:v>
                </c:pt>
                <c:pt idx="9">
                  <c:v>3.999574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94-444D-B84B-3CE6485798B4}"/>
            </c:ext>
          </c:extLst>
        </c:ser>
        <c:ser>
          <c:idx val="2"/>
          <c:order val="2"/>
          <c:tx>
            <c:strRef>
              <c:f>Sheet1!$B$32</c:f>
              <c:strCache>
                <c:ptCount val="1"/>
                <c:pt idx="0">
                  <c:v>time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Sheet1!$C$29:$L$29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Sheet1!$C$32:$L$32</c:f>
              <c:numCache>
                <c:formatCode>General</c:formatCode>
                <c:ptCount val="10"/>
                <c:pt idx="0">
                  <c:v>0.72006800000000004</c:v>
                </c:pt>
                <c:pt idx="1">
                  <c:v>0.66353300000000004</c:v>
                </c:pt>
                <c:pt idx="2">
                  <c:v>4.2248250000000001</c:v>
                </c:pt>
                <c:pt idx="3">
                  <c:v>4.1177000000000001</c:v>
                </c:pt>
                <c:pt idx="4">
                  <c:v>3.8617360000000001</c:v>
                </c:pt>
                <c:pt idx="5">
                  <c:v>4.2251859999999999</c:v>
                </c:pt>
                <c:pt idx="6">
                  <c:v>0.74330399999999996</c:v>
                </c:pt>
                <c:pt idx="7">
                  <c:v>3.8743569999999998</c:v>
                </c:pt>
                <c:pt idx="8">
                  <c:v>4.0012559999999997</c:v>
                </c:pt>
                <c:pt idx="9">
                  <c:v>3.9590299999999998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94-444D-B84B-3CE6485798B4}"/>
            </c:ext>
          </c:extLst>
        </c:ser>
        <c:ser>
          <c:idx val="3"/>
          <c:order val="3"/>
          <c:tx>
            <c:strRef>
              <c:f>Sheet1!$B$33</c:f>
              <c:strCache>
                <c:ptCount val="1"/>
                <c:pt idx="0">
                  <c:v>time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Sheet1!$C$29:$L$29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Sheet1!$C$33:$L$33</c:f>
              <c:numCache>
                <c:formatCode>General</c:formatCode>
                <c:ptCount val="10"/>
                <c:pt idx="0">
                  <c:v>0.69392399999999999</c:v>
                </c:pt>
                <c:pt idx="1">
                  <c:v>0.822492</c:v>
                </c:pt>
                <c:pt idx="2">
                  <c:v>4.0987470000000004</c:v>
                </c:pt>
                <c:pt idx="3">
                  <c:v>4.0645740000000004</c:v>
                </c:pt>
                <c:pt idx="4">
                  <c:v>3.984496</c:v>
                </c:pt>
                <c:pt idx="5">
                  <c:v>4.1831659999999999</c:v>
                </c:pt>
                <c:pt idx="6">
                  <c:v>4.0212310000000002</c:v>
                </c:pt>
                <c:pt idx="7">
                  <c:v>3.9753949999999998</c:v>
                </c:pt>
                <c:pt idx="8">
                  <c:v>4.0435239999999997</c:v>
                </c:pt>
                <c:pt idx="9">
                  <c:v>1.000348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94-444D-B84B-3CE6485798B4}"/>
            </c:ext>
          </c:extLst>
        </c:ser>
        <c:ser>
          <c:idx val="4"/>
          <c:order val="4"/>
          <c:tx>
            <c:strRef>
              <c:f>Sheet1!$B$34</c:f>
              <c:strCache>
                <c:ptCount val="1"/>
                <c:pt idx="0">
                  <c:v>time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Sheet1!$C$29:$L$29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Sheet1!$C$34:$L$34</c:f>
              <c:numCache>
                <c:formatCode>General</c:formatCode>
                <c:ptCount val="10"/>
                <c:pt idx="0">
                  <c:v>0.75421199999999999</c:v>
                </c:pt>
                <c:pt idx="1">
                  <c:v>0.74822</c:v>
                </c:pt>
                <c:pt idx="2">
                  <c:v>3.9147949999999998</c:v>
                </c:pt>
                <c:pt idx="3">
                  <c:v>3.8617360000000001</c:v>
                </c:pt>
                <c:pt idx="4">
                  <c:v>4.0051940000000004</c:v>
                </c:pt>
                <c:pt idx="5">
                  <c:v>3.9931709999999998</c:v>
                </c:pt>
                <c:pt idx="6">
                  <c:v>4.1082109999999998</c:v>
                </c:pt>
                <c:pt idx="7">
                  <c:v>3.9955319999999999</c:v>
                </c:pt>
                <c:pt idx="8">
                  <c:v>4.193454</c:v>
                </c:pt>
                <c:pt idx="9">
                  <c:v>3.9150420000000001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94-444D-B84B-3CE6485798B4}"/>
            </c:ext>
          </c:extLst>
        </c:ser>
        <c:ser>
          <c:idx val="5"/>
          <c:order val="5"/>
          <c:tx>
            <c:strRef>
              <c:f>Sheet1!$B$35</c:f>
              <c:strCache>
                <c:ptCount val="1"/>
                <c:pt idx="0">
                  <c:v>time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Sheet1!$C$29:$L$29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Sheet1!$C$35:$L$35</c:f>
              <c:numCache>
                <c:formatCode>General</c:formatCode>
                <c:ptCount val="10"/>
                <c:pt idx="0">
                  <c:v>0.66671199999999997</c:v>
                </c:pt>
                <c:pt idx="1">
                  <c:v>0.75031000000000003</c:v>
                </c:pt>
                <c:pt idx="2">
                  <c:v>4.0581399999999999</c:v>
                </c:pt>
                <c:pt idx="3">
                  <c:v>3.984496</c:v>
                </c:pt>
                <c:pt idx="4">
                  <c:v>3.9737680000000002</c:v>
                </c:pt>
                <c:pt idx="5">
                  <c:v>4.0859329999999998</c:v>
                </c:pt>
                <c:pt idx="6">
                  <c:v>6.1234999999999999</c:v>
                </c:pt>
                <c:pt idx="7">
                  <c:v>3.9753949999999998</c:v>
                </c:pt>
                <c:pt idx="8">
                  <c:v>3.951606</c:v>
                </c:pt>
                <c:pt idx="9">
                  <c:v>4.0043860000000002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94-444D-B84B-3CE648579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281727"/>
        <c:axId val="1089285567"/>
      </c:lineChart>
      <c:catAx>
        <c:axId val="108928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9285567"/>
        <c:crosses val="autoZero"/>
        <c:auto val="1"/>
        <c:lblAlgn val="ctr"/>
        <c:lblOffset val="100"/>
        <c:noMultiLvlLbl val="0"/>
      </c:catAx>
      <c:valAx>
        <c:axId val="108928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928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Sheet1!$B$40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Sheet1!$C$40:$L$40</c:f>
              <c:numCache>
                <c:formatCode>General</c:formatCode>
                <c:ptCount val="10"/>
                <c:pt idx="0">
                  <c:v>0.69377566666666668</c:v>
                </c:pt>
                <c:pt idx="1">
                  <c:v>0.71526366666666663</c:v>
                </c:pt>
                <c:pt idx="2">
                  <c:v>3.4890861666666666</c:v>
                </c:pt>
                <c:pt idx="3">
                  <c:v>3.4698276666666668</c:v>
                </c:pt>
                <c:pt idx="4">
                  <c:v>4.0522113333333332</c:v>
                </c:pt>
                <c:pt idx="5">
                  <c:v>3.514112166666667</c:v>
                </c:pt>
                <c:pt idx="6">
                  <c:v>2.7432804999999996</c:v>
                </c:pt>
                <c:pt idx="7">
                  <c:v>3.9466610000000002</c:v>
                </c:pt>
                <c:pt idx="8">
                  <c:v>4.0757709999999996</c:v>
                </c:pt>
                <c:pt idx="9">
                  <c:v>2.9836346666666671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6B-412D-ACDC-3DF096B37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619135"/>
        <c:axId val="1104619615"/>
      </c:lineChart>
      <c:catAx>
        <c:axId val="110461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4619615"/>
        <c:crosses val="autoZero"/>
        <c:auto val="1"/>
        <c:lblAlgn val="ctr"/>
        <c:lblOffset val="100"/>
        <c:noMultiLvlLbl val="0"/>
      </c:catAx>
      <c:valAx>
        <c:axId val="110461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46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Sheet1!$B$37</c:f>
              <c:strCache>
                <c:ptCount val="1"/>
                <c:pt idx="0">
                  <c:v>mean-std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f>Sheet1!$C$29:$L$29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Sheet1!$C$37:$L$37</c:f>
              <c:numCache>
                <c:formatCode>General</c:formatCode>
                <c:ptCount val="10"/>
                <c:pt idx="0">
                  <c:v>0.65451726443393865</c:v>
                </c:pt>
                <c:pt idx="1">
                  <c:v>0.64580920257783603</c:v>
                </c:pt>
                <c:pt idx="2">
                  <c:v>2.1006963345799545</c:v>
                </c:pt>
                <c:pt idx="3">
                  <c:v>2.1110864564862037</c:v>
                </c:pt>
                <c:pt idx="4">
                  <c:v>3.8586973469254597</c:v>
                </c:pt>
                <c:pt idx="5">
                  <c:v>2.1060350139393877</c:v>
                </c:pt>
                <c:pt idx="6">
                  <c:v>0.41885543782563461</c:v>
                </c:pt>
                <c:pt idx="7">
                  <c:v>3.9013863954937209</c:v>
                </c:pt>
                <c:pt idx="8">
                  <c:v>3.9573802166729179</c:v>
                </c:pt>
                <c:pt idx="9">
                  <c:v>1.4559686122808715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6F-4C4E-B08E-6AF631DF6880}"/>
            </c:ext>
          </c:extLst>
        </c:ser>
        <c:ser>
          <c:idx val="2"/>
          <c:order val="2"/>
          <c:tx>
            <c:strRef>
              <c:f>Sheet1!$B$38</c:f>
              <c:strCache>
                <c:ptCount val="1"/>
                <c:pt idx="0">
                  <c:v>band height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Sheet1!$C$29:$L$29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Sheet1!$C$38:$L$38</c:f>
              <c:numCache>
                <c:formatCode>General</c:formatCode>
                <c:ptCount val="10"/>
                <c:pt idx="0">
                  <c:v>7.8516804465456058E-2</c:v>
                </c:pt>
                <c:pt idx="1">
                  <c:v>0.13890892817766121</c:v>
                </c:pt>
                <c:pt idx="2">
                  <c:v>2.7767796641734246</c:v>
                </c:pt>
                <c:pt idx="3">
                  <c:v>2.717482420360926</c:v>
                </c:pt>
                <c:pt idx="4">
                  <c:v>0.38702797281574641</c:v>
                </c:pt>
                <c:pt idx="5">
                  <c:v>2.8161543054545586</c:v>
                </c:pt>
                <c:pt idx="6">
                  <c:v>4.6488501243487299</c:v>
                </c:pt>
                <c:pt idx="7">
                  <c:v>9.0549209012558585E-2</c:v>
                </c:pt>
                <c:pt idx="8">
                  <c:v>0.23678156665416283</c:v>
                </c:pt>
                <c:pt idx="9">
                  <c:v>3.0553321087715908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6F-4C4E-B08E-6AF631DF6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660735"/>
        <c:axId val="817663135"/>
      </c:areaChart>
      <c:lineChart>
        <c:grouping val="standar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mean+std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Sheet1!$C$29:$L$29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Sheet1!$C$36:$L$36</c:f>
              <c:numCache>
                <c:formatCode>General</c:formatCode>
                <c:ptCount val="10"/>
                <c:pt idx="0">
                  <c:v>0.73303406889939471</c:v>
                </c:pt>
                <c:pt idx="1">
                  <c:v>0.78471813075549723</c:v>
                </c:pt>
                <c:pt idx="2">
                  <c:v>4.8774759987533791</c:v>
                </c:pt>
                <c:pt idx="3">
                  <c:v>4.8285688768471298</c:v>
                </c:pt>
                <c:pt idx="4">
                  <c:v>4.2457253197412061</c:v>
                </c:pt>
                <c:pt idx="5">
                  <c:v>4.9221893193939463</c:v>
                </c:pt>
                <c:pt idx="6">
                  <c:v>5.0677055621743641</c:v>
                </c:pt>
                <c:pt idx="7">
                  <c:v>3.9919356045062795</c:v>
                </c:pt>
                <c:pt idx="8">
                  <c:v>4.1941617833270808</c:v>
                </c:pt>
                <c:pt idx="9">
                  <c:v>4.5113007210524625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F-4C4E-B08E-6AF631DF6880}"/>
            </c:ext>
          </c:extLst>
        </c:ser>
        <c:ser>
          <c:idx val="4"/>
          <c:order val="3"/>
          <c:tx>
            <c:strRef>
              <c:f>Sheet1!$B$40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Sheet1!$C$29:$L$29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Sheet1!$C$40:$L$40</c:f>
              <c:numCache>
                <c:formatCode>General</c:formatCode>
                <c:ptCount val="10"/>
                <c:pt idx="0">
                  <c:v>0.69377566666666668</c:v>
                </c:pt>
                <c:pt idx="1">
                  <c:v>0.71526366666666663</c:v>
                </c:pt>
                <c:pt idx="2">
                  <c:v>3.4890861666666666</c:v>
                </c:pt>
                <c:pt idx="3">
                  <c:v>3.4698276666666668</c:v>
                </c:pt>
                <c:pt idx="4">
                  <c:v>4.0522113333333332</c:v>
                </c:pt>
                <c:pt idx="5">
                  <c:v>3.514112166666667</c:v>
                </c:pt>
                <c:pt idx="6">
                  <c:v>2.7432804999999996</c:v>
                </c:pt>
                <c:pt idx="7">
                  <c:v>3.9466610000000002</c:v>
                </c:pt>
                <c:pt idx="8">
                  <c:v>4.0757709999999996</c:v>
                </c:pt>
                <c:pt idx="9">
                  <c:v>2.9836346666666671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6F-4C4E-B08E-6AF631DF6880}"/>
            </c:ext>
          </c:extLst>
        </c:ser>
        <c:ser>
          <c:idx val="3"/>
          <c:order val="4"/>
          <c:tx>
            <c:v>test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Sheet1!$C$37:$L$37</c:f>
              <c:numCache>
                <c:formatCode>General</c:formatCode>
                <c:ptCount val="10"/>
                <c:pt idx="0">
                  <c:v>0.65451726443393865</c:v>
                </c:pt>
                <c:pt idx="1">
                  <c:v>0.64580920257783603</c:v>
                </c:pt>
                <c:pt idx="2">
                  <c:v>2.1006963345799545</c:v>
                </c:pt>
                <c:pt idx="3">
                  <c:v>2.1110864564862037</c:v>
                </c:pt>
                <c:pt idx="4">
                  <c:v>3.8586973469254597</c:v>
                </c:pt>
                <c:pt idx="5">
                  <c:v>2.1060350139393877</c:v>
                </c:pt>
                <c:pt idx="6">
                  <c:v>0.41885543782563461</c:v>
                </c:pt>
                <c:pt idx="7">
                  <c:v>3.9013863954937209</c:v>
                </c:pt>
                <c:pt idx="8">
                  <c:v>3.9573802166729179</c:v>
                </c:pt>
                <c:pt idx="9">
                  <c:v>1.4559686122808715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6F-4C4E-B08E-6AF631DF6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660735"/>
        <c:axId val="817663135"/>
      </c:lineChart>
      <c:catAx>
        <c:axId val="81766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7663135"/>
        <c:crosses val="autoZero"/>
        <c:auto val="1"/>
        <c:lblAlgn val="ctr"/>
        <c:lblOffset val="100"/>
        <c:noMultiLvlLbl val="0"/>
      </c:catAx>
      <c:valAx>
        <c:axId val="81766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766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Sheet1!$B$57</c:f>
              <c:strCache>
                <c:ptCount val="1"/>
                <c:pt idx="0">
                  <c:v>time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Sheet1!$C$56:$L$56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Sheet1!$C$57:$L$57</c:f>
              <c:numCache>
                <c:formatCode>General</c:formatCode>
                <c:ptCount val="10"/>
                <c:pt idx="0">
                  <c:v>1.646101</c:v>
                </c:pt>
                <c:pt idx="1">
                  <c:v>1.0885450000000001</c:v>
                </c:pt>
                <c:pt idx="2">
                  <c:v>1.37795</c:v>
                </c:pt>
                <c:pt idx="3">
                  <c:v>0.78068099999999996</c:v>
                </c:pt>
                <c:pt idx="4">
                  <c:v>0.83026599999999995</c:v>
                </c:pt>
                <c:pt idx="5">
                  <c:v>0.69693899999999998</c:v>
                </c:pt>
                <c:pt idx="6">
                  <c:v>0.75350200000000001</c:v>
                </c:pt>
                <c:pt idx="7">
                  <c:v>0.75527200000000005</c:v>
                </c:pt>
                <c:pt idx="8">
                  <c:v>1.998326</c:v>
                </c:pt>
                <c:pt idx="9">
                  <c:v>0.72684599999999999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78-4B3B-8E2C-73136C46C143}"/>
            </c:ext>
          </c:extLst>
        </c:ser>
        <c:ser>
          <c:idx val="1"/>
          <c:order val="1"/>
          <c:tx>
            <c:strRef>
              <c:f>Sheet1!$B$58</c:f>
              <c:strCache>
                <c:ptCount val="1"/>
                <c:pt idx="0">
                  <c:v>time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Sheet1!$C$56:$L$56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Sheet1!$C$58:$L$58</c:f>
              <c:numCache>
                <c:formatCode>General</c:formatCode>
                <c:ptCount val="10"/>
                <c:pt idx="0">
                  <c:v>1.480164</c:v>
                </c:pt>
                <c:pt idx="1">
                  <c:v>1.092643</c:v>
                </c:pt>
                <c:pt idx="2">
                  <c:v>0.74715399999999998</c:v>
                </c:pt>
                <c:pt idx="3">
                  <c:v>0.78361999999999998</c:v>
                </c:pt>
                <c:pt idx="4">
                  <c:v>0.80556899999999998</c:v>
                </c:pt>
                <c:pt idx="5">
                  <c:v>0.78615500000000005</c:v>
                </c:pt>
                <c:pt idx="6">
                  <c:v>0.78134499999999996</c:v>
                </c:pt>
                <c:pt idx="7">
                  <c:v>0.83407799999999999</c:v>
                </c:pt>
                <c:pt idx="8">
                  <c:v>0.73828400000000005</c:v>
                </c:pt>
                <c:pt idx="9">
                  <c:v>0.82470100000000002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78-4B3B-8E2C-73136C46C143}"/>
            </c:ext>
          </c:extLst>
        </c:ser>
        <c:ser>
          <c:idx val="2"/>
          <c:order val="2"/>
          <c:tx>
            <c:strRef>
              <c:f>Sheet1!$B$59</c:f>
              <c:strCache>
                <c:ptCount val="1"/>
                <c:pt idx="0">
                  <c:v>time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Sheet1!$C$56:$L$56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Sheet1!$C$59:$L$59</c:f>
              <c:numCache>
                <c:formatCode>General</c:formatCode>
                <c:ptCount val="10"/>
                <c:pt idx="0">
                  <c:v>4.6811749999999996</c:v>
                </c:pt>
                <c:pt idx="1">
                  <c:v>2.056327</c:v>
                </c:pt>
                <c:pt idx="2">
                  <c:v>1.0428820000000001</c:v>
                </c:pt>
                <c:pt idx="3">
                  <c:v>0.74350899999999998</c:v>
                </c:pt>
                <c:pt idx="4">
                  <c:v>0.69485200000000003</c:v>
                </c:pt>
                <c:pt idx="5">
                  <c:v>0.75814000000000004</c:v>
                </c:pt>
                <c:pt idx="6">
                  <c:v>0.78774500000000003</c:v>
                </c:pt>
                <c:pt idx="7">
                  <c:v>0.78593500000000005</c:v>
                </c:pt>
                <c:pt idx="8">
                  <c:v>0.71398600000000001</c:v>
                </c:pt>
                <c:pt idx="9">
                  <c:v>1.044996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78-4B3B-8E2C-73136C46C143}"/>
            </c:ext>
          </c:extLst>
        </c:ser>
        <c:ser>
          <c:idx val="3"/>
          <c:order val="3"/>
          <c:tx>
            <c:strRef>
              <c:f>Sheet1!$B$60</c:f>
              <c:strCache>
                <c:ptCount val="1"/>
                <c:pt idx="0">
                  <c:v>time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Sheet1!$C$56:$L$56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Sheet1!$C$60:$L$60</c:f>
              <c:numCache>
                <c:formatCode>General</c:formatCode>
                <c:ptCount val="10"/>
                <c:pt idx="0">
                  <c:v>1.3176429999999999</c:v>
                </c:pt>
                <c:pt idx="1">
                  <c:v>3.9429059999999998</c:v>
                </c:pt>
                <c:pt idx="2">
                  <c:v>0.74945499999999998</c:v>
                </c:pt>
                <c:pt idx="3">
                  <c:v>0.75904700000000003</c:v>
                </c:pt>
                <c:pt idx="4">
                  <c:v>0.80556899999999998</c:v>
                </c:pt>
                <c:pt idx="5">
                  <c:v>0.75350200000000001</c:v>
                </c:pt>
                <c:pt idx="6">
                  <c:v>0.73146299999999997</c:v>
                </c:pt>
                <c:pt idx="7">
                  <c:v>1.090411</c:v>
                </c:pt>
                <c:pt idx="8">
                  <c:v>0.76395100000000005</c:v>
                </c:pt>
                <c:pt idx="9">
                  <c:v>1.0614870000000001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78-4B3B-8E2C-73136C46C143}"/>
            </c:ext>
          </c:extLst>
        </c:ser>
        <c:ser>
          <c:idx val="4"/>
          <c:order val="4"/>
          <c:tx>
            <c:strRef>
              <c:f>Sheet1!$B$61</c:f>
              <c:strCache>
                <c:ptCount val="1"/>
                <c:pt idx="0">
                  <c:v>time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Sheet1!$C$56:$L$56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Sheet1!$C$61:$L$61</c:f>
              <c:numCache>
                <c:formatCode>General</c:formatCode>
                <c:ptCount val="10"/>
                <c:pt idx="0">
                  <c:v>1.54599</c:v>
                </c:pt>
                <c:pt idx="1">
                  <c:v>2.2879079999999998</c:v>
                </c:pt>
                <c:pt idx="2">
                  <c:v>0.75904700000000003</c:v>
                </c:pt>
                <c:pt idx="3">
                  <c:v>0.78068099999999996</c:v>
                </c:pt>
                <c:pt idx="4">
                  <c:v>0.67488099999999995</c:v>
                </c:pt>
                <c:pt idx="5">
                  <c:v>0.78593500000000005</c:v>
                </c:pt>
                <c:pt idx="6">
                  <c:v>0.80155299999999996</c:v>
                </c:pt>
                <c:pt idx="7">
                  <c:v>0.76313399999999998</c:v>
                </c:pt>
                <c:pt idx="8">
                  <c:v>0.75271699999999997</c:v>
                </c:pt>
                <c:pt idx="9">
                  <c:v>1.124995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78-4B3B-8E2C-73136C46C143}"/>
            </c:ext>
          </c:extLst>
        </c:ser>
        <c:ser>
          <c:idx val="5"/>
          <c:order val="5"/>
          <c:tx>
            <c:strRef>
              <c:f>Sheet1!$B$62</c:f>
              <c:strCache>
                <c:ptCount val="1"/>
                <c:pt idx="0">
                  <c:v>time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Sheet1!$C$56:$L$56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Sheet1!$C$62:$L$62</c:f>
              <c:numCache>
                <c:formatCode>General</c:formatCode>
                <c:ptCount val="10"/>
                <c:pt idx="0">
                  <c:v>4.0102630000000001</c:v>
                </c:pt>
                <c:pt idx="1">
                  <c:v>1.49701</c:v>
                </c:pt>
                <c:pt idx="2">
                  <c:v>0.74350899999999998</c:v>
                </c:pt>
                <c:pt idx="3">
                  <c:v>0.78361999999999998</c:v>
                </c:pt>
                <c:pt idx="4">
                  <c:v>0.69485200000000003</c:v>
                </c:pt>
                <c:pt idx="5">
                  <c:v>0.78774500000000003</c:v>
                </c:pt>
                <c:pt idx="6">
                  <c:v>1.044996</c:v>
                </c:pt>
                <c:pt idx="7">
                  <c:v>0.76920999999999995</c:v>
                </c:pt>
                <c:pt idx="8">
                  <c:v>0.74011300000000002</c:v>
                </c:pt>
                <c:pt idx="9">
                  <c:v>1.049045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78-4B3B-8E2C-73136C46C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256831"/>
        <c:axId val="1092256351"/>
      </c:lineChart>
      <c:catAx>
        <c:axId val="109225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2256351"/>
        <c:crosses val="autoZero"/>
        <c:auto val="1"/>
        <c:lblAlgn val="ctr"/>
        <c:lblOffset val="100"/>
        <c:noMultiLvlLbl val="0"/>
      </c:catAx>
      <c:valAx>
        <c:axId val="109225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225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Sheet1!$B$67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Sheet1!$C$67:$L$67</c:f>
              <c:numCache>
                <c:formatCode>General</c:formatCode>
                <c:ptCount val="10"/>
                <c:pt idx="0">
                  <c:v>2.4468893333333335</c:v>
                </c:pt>
                <c:pt idx="1">
                  <c:v>1.9942231666666663</c:v>
                </c:pt>
                <c:pt idx="2">
                  <c:v>0.90333283333333336</c:v>
                </c:pt>
                <c:pt idx="3">
                  <c:v>0.7718596666666665</c:v>
                </c:pt>
                <c:pt idx="4">
                  <c:v>0.75099816666666674</c:v>
                </c:pt>
                <c:pt idx="5">
                  <c:v>0.76140266666666667</c:v>
                </c:pt>
                <c:pt idx="6">
                  <c:v>0.8167673333333334</c:v>
                </c:pt>
                <c:pt idx="7">
                  <c:v>0.83300666666666678</c:v>
                </c:pt>
                <c:pt idx="8">
                  <c:v>0.95122949999999984</c:v>
                </c:pt>
                <c:pt idx="9">
                  <c:v>0.97201166666666661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F-49D5-83AC-3A9F704A3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5476031"/>
        <c:axId val="835477471"/>
      </c:lineChart>
      <c:catAx>
        <c:axId val="83547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5477471"/>
        <c:crosses val="autoZero"/>
        <c:auto val="1"/>
        <c:lblAlgn val="ctr"/>
        <c:lblOffset val="100"/>
        <c:noMultiLvlLbl val="0"/>
      </c:catAx>
      <c:valAx>
        <c:axId val="83547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547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Sheet1!$B$92</c:f>
              <c:strCache>
                <c:ptCount val="1"/>
                <c:pt idx="0">
                  <c:v>time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Sheet1!$C$91:$L$91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Sheet1!$C$92:$L$92</c:f>
              <c:numCache>
                <c:formatCode>General</c:formatCode>
                <c:ptCount val="10"/>
                <c:pt idx="0">
                  <c:v>4.7358849999999997</c:v>
                </c:pt>
                <c:pt idx="1">
                  <c:v>4.7032420000000004</c:v>
                </c:pt>
                <c:pt idx="2">
                  <c:v>4.0471430000000002</c:v>
                </c:pt>
                <c:pt idx="3">
                  <c:v>4.0287139999999999</c:v>
                </c:pt>
                <c:pt idx="4">
                  <c:v>4.2903799999999999</c:v>
                </c:pt>
                <c:pt idx="5">
                  <c:v>5.2572809999999999</c:v>
                </c:pt>
                <c:pt idx="6">
                  <c:v>4.1235270000000002</c:v>
                </c:pt>
                <c:pt idx="7">
                  <c:v>3.9322520000000001</c:v>
                </c:pt>
                <c:pt idx="8">
                  <c:v>3.9713859999999999</c:v>
                </c:pt>
                <c:pt idx="9">
                  <c:v>3.9538880000000001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B1-4C37-AE50-262B42060A3C}"/>
            </c:ext>
          </c:extLst>
        </c:ser>
        <c:ser>
          <c:idx val="1"/>
          <c:order val="1"/>
          <c:tx>
            <c:strRef>
              <c:f>Sheet1!$B$93</c:f>
              <c:strCache>
                <c:ptCount val="1"/>
                <c:pt idx="0">
                  <c:v>time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Sheet1!$C$91:$L$91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Sheet1!$C$93:$L$93</c:f>
              <c:numCache>
                <c:formatCode>General</c:formatCode>
                <c:ptCount val="10"/>
                <c:pt idx="0">
                  <c:v>7.4328719999999997</c:v>
                </c:pt>
                <c:pt idx="1">
                  <c:v>4.6318669999999997</c:v>
                </c:pt>
                <c:pt idx="2">
                  <c:v>3.985471</c:v>
                </c:pt>
                <c:pt idx="3">
                  <c:v>4.1171680000000004</c:v>
                </c:pt>
                <c:pt idx="4">
                  <c:v>5.2572809999999999</c:v>
                </c:pt>
                <c:pt idx="5">
                  <c:v>4.2306429999999997</c:v>
                </c:pt>
                <c:pt idx="6">
                  <c:v>4.0500129999999999</c:v>
                </c:pt>
                <c:pt idx="7">
                  <c:v>3.9429850000000002</c:v>
                </c:pt>
                <c:pt idx="8">
                  <c:v>1.004405</c:v>
                </c:pt>
                <c:pt idx="9">
                  <c:v>3.8651580000000001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B1-4C37-AE50-262B42060A3C}"/>
            </c:ext>
          </c:extLst>
        </c:ser>
        <c:ser>
          <c:idx val="2"/>
          <c:order val="2"/>
          <c:tx>
            <c:strRef>
              <c:f>Sheet1!$B$94</c:f>
              <c:strCache>
                <c:ptCount val="1"/>
                <c:pt idx="0">
                  <c:v>time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Sheet1!$C$91:$L$91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Sheet1!$C$94:$L$94</c:f>
              <c:numCache>
                <c:formatCode>General</c:formatCode>
                <c:ptCount val="10"/>
                <c:pt idx="0">
                  <c:v>7.5090820000000003</c:v>
                </c:pt>
                <c:pt idx="1">
                  <c:v>4.8763339999999999</c:v>
                </c:pt>
                <c:pt idx="2">
                  <c:v>3.9655860000000001</c:v>
                </c:pt>
                <c:pt idx="3">
                  <c:v>4.081264</c:v>
                </c:pt>
                <c:pt idx="4">
                  <c:v>4.2903799999999999</c:v>
                </c:pt>
                <c:pt idx="5">
                  <c:v>3.96387</c:v>
                </c:pt>
                <c:pt idx="6">
                  <c:v>4.1235270000000002</c:v>
                </c:pt>
                <c:pt idx="7">
                  <c:v>4.0638199999999998</c:v>
                </c:pt>
                <c:pt idx="8">
                  <c:v>3.857818</c:v>
                </c:pt>
                <c:pt idx="9">
                  <c:v>4.0659450000000001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B1-4C37-AE50-262B42060A3C}"/>
            </c:ext>
          </c:extLst>
        </c:ser>
        <c:ser>
          <c:idx val="3"/>
          <c:order val="3"/>
          <c:tx>
            <c:strRef>
              <c:f>Sheet1!$B$95</c:f>
              <c:strCache>
                <c:ptCount val="1"/>
                <c:pt idx="0">
                  <c:v>time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Sheet1!$C$91:$L$91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Sheet1!$C$95:$L$95</c:f>
              <c:numCache>
                <c:formatCode>General</c:formatCode>
                <c:ptCount val="10"/>
                <c:pt idx="0">
                  <c:v>5.0441279999999997</c:v>
                </c:pt>
                <c:pt idx="1">
                  <c:v>7.5420489999999996</c:v>
                </c:pt>
                <c:pt idx="2">
                  <c:v>4.3149579999999998</c:v>
                </c:pt>
                <c:pt idx="3">
                  <c:v>3.9487950000000001</c:v>
                </c:pt>
                <c:pt idx="4">
                  <c:v>5.2572809999999999</c:v>
                </c:pt>
                <c:pt idx="5">
                  <c:v>3.8579669999999999</c:v>
                </c:pt>
                <c:pt idx="6">
                  <c:v>3.9238879999999998</c:v>
                </c:pt>
                <c:pt idx="7">
                  <c:v>3.9447559999999999</c:v>
                </c:pt>
                <c:pt idx="8">
                  <c:v>3.9921030000000002</c:v>
                </c:pt>
                <c:pt idx="9">
                  <c:v>4.0968020000000003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B1-4C37-AE50-262B42060A3C}"/>
            </c:ext>
          </c:extLst>
        </c:ser>
        <c:ser>
          <c:idx val="4"/>
          <c:order val="4"/>
          <c:tx>
            <c:strRef>
              <c:f>Sheet1!$B$96</c:f>
              <c:strCache>
                <c:ptCount val="1"/>
                <c:pt idx="0">
                  <c:v>time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Sheet1!$C$91:$L$91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Sheet1!$C$96:$L$96</c:f>
              <c:numCache>
                <c:formatCode>General</c:formatCode>
                <c:ptCount val="10"/>
                <c:pt idx="0">
                  <c:v>4.9041550000000003</c:v>
                </c:pt>
                <c:pt idx="1">
                  <c:v>4.7357500000000003</c:v>
                </c:pt>
                <c:pt idx="2">
                  <c:v>4.0737030000000001</c:v>
                </c:pt>
                <c:pt idx="3">
                  <c:v>3.8450340000000001</c:v>
                </c:pt>
                <c:pt idx="4">
                  <c:v>4.2306429999999997</c:v>
                </c:pt>
                <c:pt idx="5">
                  <c:v>3.8897889999999999</c:v>
                </c:pt>
                <c:pt idx="6">
                  <c:v>3.9794510000000001</c:v>
                </c:pt>
                <c:pt idx="7">
                  <c:v>3.8264480000000001</c:v>
                </c:pt>
                <c:pt idx="8">
                  <c:v>1.034057</c:v>
                </c:pt>
                <c:pt idx="9">
                  <c:v>3.9538880000000001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B1-4C37-AE50-262B42060A3C}"/>
            </c:ext>
          </c:extLst>
        </c:ser>
        <c:ser>
          <c:idx val="5"/>
          <c:order val="5"/>
          <c:tx>
            <c:strRef>
              <c:f>Sheet1!$B$97</c:f>
              <c:strCache>
                <c:ptCount val="1"/>
                <c:pt idx="0">
                  <c:v>time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Sheet1!$C$91:$L$91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Sheet1!$C$97:$L$97</c:f>
              <c:numCache>
                <c:formatCode>General</c:formatCode>
                <c:ptCount val="10"/>
                <c:pt idx="0">
                  <c:v>7.387664</c:v>
                </c:pt>
                <c:pt idx="1">
                  <c:v>6.7267770000000002</c:v>
                </c:pt>
                <c:pt idx="2">
                  <c:v>4.397475</c:v>
                </c:pt>
                <c:pt idx="3">
                  <c:v>3.9564330000000001</c:v>
                </c:pt>
                <c:pt idx="4">
                  <c:v>4.0051940000000004</c:v>
                </c:pt>
                <c:pt idx="5">
                  <c:v>3.8983270000000001</c:v>
                </c:pt>
                <c:pt idx="6">
                  <c:v>2.5926459999999998</c:v>
                </c:pt>
                <c:pt idx="7">
                  <c:v>3.8996770000000001</c:v>
                </c:pt>
                <c:pt idx="8">
                  <c:v>3.8896220000000001</c:v>
                </c:pt>
                <c:pt idx="9">
                  <c:v>1.363102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B1-4C37-AE50-262B42060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894431"/>
        <c:axId val="1037893471"/>
      </c:lineChart>
      <c:catAx>
        <c:axId val="103789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7893471"/>
        <c:crosses val="autoZero"/>
        <c:auto val="1"/>
        <c:lblAlgn val="ctr"/>
        <c:lblOffset val="100"/>
        <c:noMultiLvlLbl val="0"/>
      </c:catAx>
      <c:valAx>
        <c:axId val="103789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789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Sheet1!$B$102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Sheet1!$C$102:$L$102</c:f>
              <c:numCache>
                <c:formatCode>General</c:formatCode>
                <c:ptCount val="10"/>
                <c:pt idx="0">
                  <c:v>6.1689643333333324</c:v>
                </c:pt>
                <c:pt idx="1">
                  <c:v>5.5360031666666663</c:v>
                </c:pt>
                <c:pt idx="2">
                  <c:v>4.1307226666666672</c:v>
                </c:pt>
                <c:pt idx="3">
                  <c:v>3.9962346666666666</c:v>
                </c:pt>
                <c:pt idx="4">
                  <c:v>4.5551931666666663</c:v>
                </c:pt>
                <c:pt idx="5">
                  <c:v>4.1829794999999992</c:v>
                </c:pt>
                <c:pt idx="6">
                  <c:v>3.7988419999999992</c:v>
                </c:pt>
                <c:pt idx="7">
                  <c:v>3.9349896666666666</c:v>
                </c:pt>
                <c:pt idx="8">
                  <c:v>2.9582318333333331</c:v>
                </c:pt>
                <c:pt idx="9">
                  <c:v>3.5497971666666666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68-4DC2-AFAE-E6A28BA86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8325119"/>
        <c:axId val="1098322719"/>
      </c:lineChart>
      <c:catAx>
        <c:axId val="109832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8322719"/>
        <c:crosses val="autoZero"/>
        <c:auto val="1"/>
        <c:lblAlgn val="ctr"/>
        <c:lblOffset val="100"/>
        <c:noMultiLvlLbl val="0"/>
      </c:catAx>
      <c:valAx>
        <c:axId val="10983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832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Sheet1!$B$64</c:f>
              <c:strCache>
                <c:ptCount val="1"/>
                <c:pt idx="0">
                  <c:v>mean-std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f>Sheet1!$C$56:$L$56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Sheet1!$C$64:$L$64</c:f>
              <c:numCache>
                <c:formatCode>General</c:formatCode>
                <c:ptCount val="10"/>
                <c:pt idx="0">
                  <c:v>0.95700300364523772</c:v>
                </c:pt>
                <c:pt idx="1">
                  <c:v>0.92018470143529107</c:v>
                </c:pt>
                <c:pt idx="2">
                  <c:v>0.64288410525548967</c:v>
                </c:pt>
                <c:pt idx="3">
                  <c:v>0.75512546545278525</c:v>
                </c:pt>
                <c:pt idx="4">
                  <c:v>0.68123005328120489</c:v>
                </c:pt>
                <c:pt idx="5">
                  <c:v>0.72636822145246827</c:v>
                </c:pt>
                <c:pt idx="6">
                  <c:v>0.7021408360080349</c:v>
                </c:pt>
                <c:pt idx="7">
                  <c:v>0.70380236100827753</c:v>
                </c:pt>
                <c:pt idx="8">
                  <c:v>0.43798648341516599</c:v>
                </c:pt>
                <c:pt idx="9">
                  <c:v>0.81422876547941214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BF-4D6C-B7F2-CBC6D3F3D455}"/>
            </c:ext>
          </c:extLst>
        </c:ser>
        <c:ser>
          <c:idx val="2"/>
          <c:order val="1"/>
          <c:tx>
            <c:strRef>
              <c:f>Sheet1!$B$65</c:f>
              <c:strCache>
                <c:ptCount val="1"/>
                <c:pt idx="0">
                  <c:v>band height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Sheet1!$C$56:$L$56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Sheet1!$C$65:$L$65</c:f>
              <c:numCache>
                <c:formatCode>General</c:formatCode>
                <c:ptCount val="10"/>
                <c:pt idx="0">
                  <c:v>2.9797726593761915</c:v>
                </c:pt>
                <c:pt idx="1">
                  <c:v>2.1480769304627505</c:v>
                </c:pt>
                <c:pt idx="2">
                  <c:v>0.52089745615568739</c:v>
                </c:pt>
                <c:pt idx="3">
                  <c:v>3.34684024277625E-2</c:v>
                </c:pt>
                <c:pt idx="4">
                  <c:v>0.1395362267709237</c:v>
                </c:pt>
                <c:pt idx="5">
                  <c:v>7.0068890428396813E-2</c:v>
                </c:pt>
                <c:pt idx="6">
                  <c:v>0.22925299465059701</c:v>
                </c:pt>
                <c:pt idx="7">
                  <c:v>0.2584086113167785</c:v>
                </c:pt>
                <c:pt idx="8">
                  <c:v>1.0264860331696677</c:v>
                </c:pt>
                <c:pt idx="9">
                  <c:v>0.31556580237450904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BF-4D6C-B7F2-CBC6D3F3D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075039"/>
        <c:axId val="9403503"/>
      </c:areaChart>
      <c:lineChart>
        <c:grouping val="standard"/>
        <c:varyColors val="0"/>
        <c:ser>
          <c:idx val="4"/>
          <c:order val="2"/>
          <c:tx>
            <c:strRef>
              <c:f>Sheet1!$B$67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Sheet1!$C$67:$L$67</c:f>
              <c:numCache>
                <c:formatCode>General</c:formatCode>
                <c:ptCount val="10"/>
                <c:pt idx="0">
                  <c:v>2.4468893333333335</c:v>
                </c:pt>
                <c:pt idx="1">
                  <c:v>1.9942231666666663</c:v>
                </c:pt>
                <c:pt idx="2">
                  <c:v>0.90333283333333336</c:v>
                </c:pt>
                <c:pt idx="3">
                  <c:v>0.7718596666666665</c:v>
                </c:pt>
                <c:pt idx="4">
                  <c:v>0.75099816666666674</c:v>
                </c:pt>
                <c:pt idx="5">
                  <c:v>0.76140266666666667</c:v>
                </c:pt>
                <c:pt idx="6">
                  <c:v>0.8167673333333334</c:v>
                </c:pt>
                <c:pt idx="7">
                  <c:v>0.83300666666666678</c:v>
                </c:pt>
                <c:pt idx="8">
                  <c:v>0.95122949999999984</c:v>
                </c:pt>
                <c:pt idx="9">
                  <c:v>0.97201166666666661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BF-4D6C-B7F2-CBC6D3F3D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75039"/>
        <c:axId val="9403503"/>
      </c:lineChart>
      <c:catAx>
        <c:axId val="96307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03503"/>
        <c:crosses val="autoZero"/>
        <c:auto val="1"/>
        <c:lblAlgn val="ctr"/>
        <c:lblOffset val="100"/>
        <c:noMultiLvlLbl val="0"/>
      </c:catAx>
      <c:valAx>
        <c:axId val="94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307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Sheet1!$B$99</c:f>
              <c:strCache>
                <c:ptCount val="1"/>
                <c:pt idx="0">
                  <c:v>mean-std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f>Sheet1!$C$91:$L$91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Sheet1!$C$99:$L$99</c:f>
              <c:numCache>
                <c:formatCode>General</c:formatCode>
                <c:ptCount val="10"/>
                <c:pt idx="0">
                  <c:v>4.7691555871108049</c:v>
                </c:pt>
                <c:pt idx="1">
                  <c:v>4.2688264531512345</c:v>
                </c:pt>
                <c:pt idx="2">
                  <c:v>3.9497782366328398</c:v>
                </c:pt>
                <c:pt idx="3">
                  <c:v>3.8966293435405071</c:v>
                </c:pt>
                <c:pt idx="4">
                  <c:v>4.0013089600084806</c:v>
                </c:pt>
                <c:pt idx="5">
                  <c:v>3.6394677088992862</c:v>
                </c:pt>
                <c:pt idx="6">
                  <c:v>3.2026721461657024</c:v>
                </c:pt>
                <c:pt idx="7">
                  <c:v>3.8577985608871361</c:v>
                </c:pt>
                <c:pt idx="8">
                  <c:v>1.4554343118816344</c:v>
                </c:pt>
                <c:pt idx="9">
                  <c:v>2.4752470390470345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48-4F46-84D2-BF46EE145DB8}"/>
            </c:ext>
          </c:extLst>
        </c:ser>
        <c:ser>
          <c:idx val="2"/>
          <c:order val="1"/>
          <c:tx>
            <c:strRef>
              <c:f>Sheet1!$B$100</c:f>
              <c:strCache>
                <c:ptCount val="1"/>
                <c:pt idx="0">
                  <c:v>band height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Sheet1!$C$91:$L$91</c:f>
              <c:strCache>
                <c:ptCount val="10"/>
                <c:pt idx="0">
                  <c:v>length 1</c:v>
                </c:pt>
                <c:pt idx="1">
                  <c:v>length 2</c:v>
                </c:pt>
                <c:pt idx="2">
                  <c:v>length 3</c:v>
                </c:pt>
                <c:pt idx="3">
                  <c:v>length 4</c:v>
                </c:pt>
                <c:pt idx="4">
                  <c:v>length 5</c:v>
                </c:pt>
                <c:pt idx="5">
                  <c:v>length 6</c:v>
                </c:pt>
                <c:pt idx="6">
                  <c:v>length 7</c:v>
                </c:pt>
                <c:pt idx="7">
                  <c:v>length 8</c:v>
                </c:pt>
                <c:pt idx="8">
                  <c:v>length 9</c:v>
                </c:pt>
                <c:pt idx="9">
                  <c:v>length 10</c:v>
                </c:pt>
              </c:strCache>
            </c:strRef>
          </c:cat>
          <c:val>
            <c:numRef>
              <c:f>Sheet1!$C$100:$L$100</c:f>
              <c:numCache>
                <c:formatCode>General</c:formatCode>
                <c:ptCount val="10"/>
                <c:pt idx="0">
                  <c:v>2.799617492445055</c:v>
                </c:pt>
                <c:pt idx="1">
                  <c:v>2.5343534270308634</c:v>
                </c:pt>
                <c:pt idx="2">
                  <c:v>0.36188886006765486</c:v>
                </c:pt>
                <c:pt idx="3">
                  <c:v>0.1992106462523191</c:v>
                </c:pt>
                <c:pt idx="4">
                  <c:v>1.1077684133163714</c:v>
                </c:pt>
                <c:pt idx="5">
                  <c:v>1.0870235822014256</c:v>
                </c:pt>
                <c:pt idx="6">
                  <c:v>1.1923397076685935</c:v>
                </c:pt>
                <c:pt idx="7">
                  <c:v>0.15438221155906051</c:v>
                </c:pt>
                <c:pt idx="8">
                  <c:v>3.0055950429033969</c:v>
                </c:pt>
                <c:pt idx="9">
                  <c:v>2.1491002552392642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48-4F46-84D2-BF46EE145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477951"/>
        <c:axId val="963434591"/>
      </c:areaChart>
      <c:lineChart>
        <c:grouping val="standard"/>
        <c:varyColors val="0"/>
        <c:ser>
          <c:idx val="4"/>
          <c:order val="2"/>
          <c:tx>
            <c:strRef>
              <c:f>Sheet1!$B$102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Sheet1!$C$102:$L$102</c:f>
              <c:numCache>
                <c:formatCode>General</c:formatCode>
                <c:ptCount val="10"/>
                <c:pt idx="0">
                  <c:v>6.1689643333333324</c:v>
                </c:pt>
                <c:pt idx="1">
                  <c:v>5.5360031666666663</c:v>
                </c:pt>
                <c:pt idx="2">
                  <c:v>4.1307226666666672</c:v>
                </c:pt>
                <c:pt idx="3">
                  <c:v>3.9962346666666666</c:v>
                </c:pt>
                <c:pt idx="4">
                  <c:v>4.5551931666666663</c:v>
                </c:pt>
                <c:pt idx="5">
                  <c:v>4.1829794999999992</c:v>
                </c:pt>
                <c:pt idx="6">
                  <c:v>3.7988419999999992</c:v>
                </c:pt>
                <c:pt idx="7">
                  <c:v>3.9349896666666666</c:v>
                </c:pt>
                <c:pt idx="8">
                  <c:v>2.9582318333333331</c:v>
                </c:pt>
                <c:pt idx="9">
                  <c:v>3.5497971666666666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48-4F46-84D2-BF46EE145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5477951"/>
        <c:axId val="963434591"/>
      </c:lineChart>
      <c:catAx>
        <c:axId val="83547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3434591"/>
        <c:crosses val="autoZero"/>
        <c:auto val="1"/>
        <c:lblAlgn val="ctr"/>
        <c:lblOffset val="100"/>
        <c:noMultiLvlLbl val="0"/>
      </c:catAx>
      <c:valAx>
        <c:axId val="96343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547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419100</xdr:colOff>
      <xdr:row>1</xdr:row>
      <xdr:rowOff>119062</xdr:rowOff>
    </xdr:from>
    <xdr:to>
      <xdr:col>21</xdr:col>
      <xdr:colOff>76200</xdr:colOff>
      <xdr:row>17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C86974-89C0-3D9B-86CD-B3392A614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257175</xdr:colOff>
      <xdr:row>1</xdr:row>
      <xdr:rowOff>71436</xdr:rowOff>
    </xdr:from>
    <xdr:to>
      <xdr:col>29</xdr:col>
      <xdr:colOff>142875</xdr:colOff>
      <xdr:row>17</xdr:row>
      <xdr:rowOff>19049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5F4EAB-05CB-7294-9BB9-24E241C1A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400050</xdr:colOff>
      <xdr:row>1</xdr:row>
      <xdr:rowOff>90487</xdr:rowOff>
    </xdr:from>
    <xdr:to>
      <xdr:col>41</xdr:col>
      <xdr:colOff>285750</xdr:colOff>
      <xdr:row>17</xdr:row>
      <xdr:rowOff>171451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732E64-233E-EAA8-1C59-BEB9FDA75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533400</xdr:colOff>
      <xdr:row>23</xdr:row>
      <xdr:rowOff>14287</xdr:rowOff>
    </xdr:from>
    <xdr:to>
      <xdr:col>20</xdr:col>
      <xdr:colOff>228600</xdr:colOff>
      <xdr:row>37</xdr:row>
      <xdr:rowOff>90487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D0E4E0F-B338-9D18-8B09-6CEBA867F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390525</xdr:colOff>
      <xdr:row>23</xdr:row>
      <xdr:rowOff>61912</xdr:rowOff>
    </xdr:from>
    <xdr:to>
      <xdr:col>29</xdr:col>
      <xdr:colOff>85725</xdr:colOff>
      <xdr:row>37</xdr:row>
      <xdr:rowOff>138112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337D58B-05E3-41A6-AEDC-0BDCC7FD0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371475</xdr:colOff>
      <xdr:row>23</xdr:row>
      <xdr:rowOff>157162</xdr:rowOff>
    </xdr:from>
    <xdr:to>
      <xdr:col>37</xdr:col>
      <xdr:colOff>66675</xdr:colOff>
      <xdr:row>38</xdr:row>
      <xdr:rowOff>42862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2ECA809-1591-DE55-C046-85C0AFEE8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476250</xdr:colOff>
      <xdr:row>54</xdr:row>
      <xdr:rowOff>119062</xdr:rowOff>
    </xdr:from>
    <xdr:to>
      <xdr:col>20</xdr:col>
      <xdr:colOff>171450</xdr:colOff>
      <xdr:row>69</xdr:row>
      <xdr:rowOff>4762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B7C1766-EE51-EE14-E25F-A12A4CCDF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285750</xdr:colOff>
      <xdr:row>54</xdr:row>
      <xdr:rowOff>100012</xdr:rowOff>
    </xdr:from>
    <xdr:to>
      <xdr:col>28</xdr:col>
      <xdr:colOff>590550</xdr:colOff>
      <xdr:row>68</xdr:row>
      <xdr:rowOff>176212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CAA79E1-EE4A-4BBD-2A01-918735452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238125</xdr:colOff>
      <xdr:row>89</xdr:row>
      <xdr:rowOff>109537</xdr:rowOff>
    </xdr:from>
    <xdr:to>
      <xdr:col>19</xdr:col>
      <xdr:colOff>542925</xdr:colOff>
      <xdr:row>103</xdr:row>
      <xdr:rowOff>185737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266A521-3D01-C018-FF4F-724E28CFF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409575</xdr:colOff>
      <xdr:row>90</xdr:row>
      <xdr:rowOff>52387</xdr:rowOff>
    </xdr:from>
    <xdr:to>
      <xdr:col>28</xdr:col>
      <xdr:colOff>104775</xdr:colOff>
      <xdr:row>104</xdr:row>
      <xdr:rowOff>128587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FEC9D85-FD51-A46D-C8EF-8128FFB89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400050</xdr:colOff>
      <xdr:row>54</xdr:row>
      <xdr:rowOff>61912</xdr:rowOff>
    </xdr:from>
    <xdr:to>
      <xdr:col>37</xdr:col>
      <xdr:colOff>95250</xdr:colOff>
      <xdr:row>68</xdr:row>
      <xdr:rowOff>138112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4CA2A41-2339-1F97-7978-E8968F3DC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419100</xdr:colOff>
      <xdr:row>90</xdr:row>
      <xdr:rowOff>80962</xdr:rowOff>
    </xdr:from>
    <xdr:to>
      <xdr:col>36</xdr:col>
      <xdr:colOff>114300</xdr:colOff>
      <xdr:row>104</xdr:row>
      <xdr:rowOff>157162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658DE2C-1219-DA1C-9F22-5F13D0AE0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1D4A-6ED9-462A-AE15-7F74896BD169}">
  <dimension ref="B3:L103"/>
  <sheetViews>
    <sheetView tabSelected="1" topLeftCell="B64" zoomScaleNormal="100" workbookViewId="0">
      <selection activeCell="AA84" sqref="AA84"/>
    </sheetView>
  </sheetViews>
  <sheetFormatPr defaultRowHeight="15" x14ac:dyDescent="0.25"/>
  <cols>
    <col min="2" max="2" width="19.7109375" bestFit="1" customWidth="1"/>
    <col min="3" max="3" width="12" bestFit="1" customWidth="1"/>
  </cols>
  <sheetData>
    <row r="3" spans="2:12" x14ac:dyDescent="0.25">
      <c r="B3" t="s">
        <v>0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</row>
    <row r="4" spans="2:12" x14ac:dyDescent="0.25">
      <c r="B4" t="s">
        <v>1</v>
      </c>
      <c r="C4">
        <v>0.84402200000000005</v>
      </c>
      <c r="D4">
        <v>0.70892500000000003</v>
      </c>
      <c r="E4">
        <v>0.74432399999999999</v>
      </c>
      <c r="F4">
        <v>0.69279299999999999</v>
      </c>
      <c r="G4">
        <v>0.71146500000000001</v>
      </c>
      <c r="H4">
        <v>0.652891</v>
      </c>
      <c r="I4">
        <v>0.64742</v>
      </c>
      <c r="J4">
        <v>0.77159699999999998</v>
      </c>
      <c r="K4">
        <v>0.70492100000000002</v>
      </c>
      <c r="L4">
        <v>0.73724500000000004</v>
      </c>
    </row>
    <row r="5" spans="2:12" x14ac:dyDescent="0.25">
      <c r="B5" t="s">
        <v>2</v>
      </c>
      <c r="C5">
        <v>0.69612700000000005</v>
      </c>
      <c r="D5">
        <v>0.65464599999999995</v>
      </c>
      <c r="E5">
        <v>0.76197899999999996</v>
      </c>
      <c r="F5">
        <v>0.67706</v>
      </c>
      <c r="G5">
        <v>0.67926399999999998</v>
      </c>
      <c r="H5">
        <v>0.70706199999999997</v>
      </c>
      <c r="I5">
        <v>0.64993500000000004</v>
      </c>
      <c r="J5">
        <v>0.66179399999999999</v>
      </c>
      <c r="K5">
        <v>0.68419099999999999</v>
      </c>
      <c r="L5">
        <v>0.70044399999999996</v>
      </c>
    </row>
    <row r="6" spans="2:12" x14ac:dyDescent="0.25">
      <c r="B6" t="s">
        <v>3</v>
      </c>
      <c r="C6">
        <v>0.66743799999999998</v>
      </c>
      <c r="D6">
        <v>0.70714200000000005</v>
      </c>
      <c r="E6">
        <v>0.72197699999999998</v>
      </c>
      <c r="F6">
        <v>0.72357499999999997</v>
      </c>
      <c r="G6">
        <v>0.690029</v>
      </c>
      <c r="H6">
        <v>0.61022500000000002</v>
      </c>
      <c r="I6">
        <v>0.63480899999999996</v>
      </c>
      <c r="J6">
        <v>0.73097500000000004</v>
      </c>
      <c r="K6">
        <v>0.69753200000000004</v>
      </c>
      <c r="L6">
        <v>0.74813700000000005</v>
      </c>
    </row>
    <row r="7" spans="2:12" x14ac:dyDescent="0.25">
      <c r="B7" t="s">
        <v>4</v>
      </c>
      <c r="C7">
        <v>0.69531600000000005</v>
      </c>
      <c r="D7">
        <v>0.76642100000000002</v>
      </c>
      <c r="E7">
        <v>0.72239200000000003</v>
      </c>
      <c r="F7">
        <v>0.64518500000000001</v>
      </c>
      <c r="G7">
        <v>0.69485200000000003</v>
      </c>
      <c r="H7">
        <v>0.71136500000000003</v>
      </c>
      <c r="I7">
        <v>0.64938499999999999</v>
      </c>
      <c r="J7">
        <v>0.72096700000000002</v>
      </c>
      <c r="K7">
        <v>0.72298399999999996</v>
      </c>
      <c r="L7">
        <v>0.72200200000000003</v>
      </c>
    </row>
    <row r="8" spans="2:12" x14ac:dyDescent="0.25">
      <c r="B8" t="s">
        <v>5</v>
      </c>
      <c r="C8">
        <v>0.68583799999999995</v>
      </c>
      <c r="D8">
        <v>0.68416999999999994</v>
      </c>
      <c r="E8">
        <v>0.68477900000000003</v>
      </c>
      <c r="F8">
        <v>0.63280099999999995</v>
      </c>
      <c r="G8">
        <v>0.67488099999999995</v>
      </c>
      <c r="H8">
        <v>0.75197400000000003</v>
      </c>
      <c r="I8">
        <v>0.68794</v>
      </c>
      <c r="J8">
        <v>0.71253299999999997</v>
      </c>
      <c r="K8">
        <v>0.71384599999999998</v>
      </c>
      <c r="L8">
        <v>0.69090799999999997</v>
      </c>
    </row>
    <row r="9" spans="2:12" x14ac:dyDescent="0.25">
      <c r="B9" t="s">
        <v>6</v>
      </c>
      <c r="C9">
        <v>0.65095199999999998</v>
      </c>
      <c r="D9">
        <v>0.63414000000000004</v>
      </c>
      <c r="E9">
        <v>0.71315399999999995</v>
      </c>
      <c r="F9">
        <v>0.61582999999999999</v>
      </c>
      <c r="G9">
        <v>0.71559399999999995</v>
      </c>
      <c r="H9">
        <v>0.72627200000000003</v>
      </c>
      <c r="I9">
        <v>0.65687200000000001</v>
      </c>
      <c r="J9">
        <v>0.69590200000000002</v>
      </c>
      <c r="K9">
        <v>0.68150900000000003</v>
      </c>
      <c r="L9">
        <v>0.72298399999999996</v>
      </c>
    </row>
    <row r="10" spans="2:12" x14ac:dyDescent="0.25">
      <c r="B10" t="s">
        <v>19</v>
      </c>
      <c r="C10">
        <f>C14+C15</f>
        <v>0.77616151328545002</v>
      </c>
      <c r="D10">
        <f t="shared" ref="D10:L10" si="0">D14+D15</f>
        <v>0.73917154068617785</v>
      </c>
      <c r="E10">
        <f t="shared" si="0"/>
        <v>0.75127989645712923</v>
      </c>
      <c r="F10">
        <f t="shared" si="0"/>
        <v>0.70502463356056999</v>
      </c>
      <c r="G10">
        <f t="shared" si="0"/>
        <v>0.71089913511862202</v>
      </c>
      <c r="H10">
        <f t="shared" si="0"/>
        <v>0.74541317566567444</v>
      </c>
      <c r="I10">
        <f t="shared" si="0"/>
        <v>0.67233036851989492</v>
      </c>
      <c r="J10">
        <f t="shared" si="0"/>
        <v>0.75221586123292805</v>
      </c>
      <c r="K10">
        <f t="shared" si="0"/>
        <v>0.71718890100682209</v>
      </c>
      <c r="L10">
        <f t="shared" si="0"/>
        <v>0.74187500420031349</v>
      </c>
    </row>
    <row r="11" spans="2:12" x14ac:dyDescent="0.25">
      <c r="B11" t="s">
        <v>20</v>
      </c>
      <c r="C11">
        <f>C14-C15</f>
        <v>0.63706948671454988</v>
      </c>
      <c r="D11">
        <f t="shared" ref="D11:L11" si="1">D14-D15</f>
        <v>0.64597645931382219</v>
      </c>
      <c r="E11">
        <f t="shared" si="1"/>
        <v>0.69825510354287079</v>
      </c>
      <c r="F11">
        <f t="shared" si="1"/>
        <v>0.62405669977276312</v>
      </c>
      <c r="G11">
        <f t="shared" si="1"/>
        <v>0.677795864881378</v>
      </c>
      <c r="H11">
        <f t="shared" si="1"/>
        <v>0.64118315766765888</v>
      </c>
      <c r="I11">
        <f t="shared" si="1"/>
        <v>0.63645663148010501</v>
      </c>
      <c r="J11">
        <f t="shared" si="1"/>
        <v>0.67904013876707203</v>
      </c>
      <c r="K11">
        <f t="shared" si="1"/>
        <v>0.68447209899317774</v>
      </c>
      <c r="L11">
        <f t="shared" si="1"/>
        <v>0.69869832913301977</v>
      </c>
    </row>
    <row r="12" spans="2:12" x14ac:dyDescent="0.25">
      <c r="B12" t="s">
        <v>21</v>
      </c>
      <c r="C12">
        <f>C10-C11</f>
        <v>0.13909202657090014</v>
      </c>
      <c r="D12">
        <f t="shared" ref="D12:L12" si="2">D10-D11</f>
        <v>9.3195081372355659E-2</v>
      </c>
      <c r="E12">
        <f t="shared" si="2"/>
        <v>5.3024792914258434E-2</v>
      </c>
      <c r="F12">
        <f t="shared" si="2"/>
        <v>8.0967933787806867E-2</v>
      </c>
      <c r="G12">
        <f t="shared" si="2"/>
        <v>3.310327023724402E-2</v>
      </c>
      <c r="H12">
        <f t="shared" si="2"/>
        <v>0.10423001799801557</v>
      </c>
      <c r="I12">
        <f t="shared" si="2"/>
        <v>3.587373703978991E-2</v>
      </c>
      <c r="J12">
        <f t="shared" si="2"/>
        <v>7.3175722465856019E-2</v>
      </c>
      <c r="K12">
        <f t="shared" si="2"/>
        <v>3.2716802013644353E-2</v>
      </c>
      <c r="L12">
        <f t="shared" si="2"/>
        <v>4.3176675067293724E-2</v>
      </c>
    </row>
    <row r="14" spans="2:12" x14ac:dyDescent="0.25">
      <c r="B14" t="s">
        <v>7</v>
      </c>
      <c r="C14">
        <f>AVERAGE(C4:C9)</f>
        <v>0.70661549999999995</v>
      </c>
      <c r="D14">
        <f t="shared" ref="D14:L14" si="3">AVERAGE(D4:D9)</f>
        <v>0.69257400000000002</v>
      </c>
      <c r="E14">
        <f t="shared" si="3"/>
        <v>0.72476750000000001</v>
      </c>
      <c r="F14">
        <f t="shared" si="3"/>
        <v>0.66454066666666656</v>
      </c>
      <c r="G14">
        <f t="shared" si="3"/>
        <v>0.69434750000000001</v>
      </c>
      <c r="H14">
        <f t="shared" si="3"/>
        <v>0.69329816666666666</v>
      </c>
      <c r="I14">
        <f t="shared" si="3"/>
        <v>0.65439349999999996</v>
      </c>
      <c r="J14">
        <f t="shared" si="3"/>
        <v>0.71562800000000004</v>
      </c>
      <c r="K14">
        <f t="shared" si="3"/>
        <v>0.70083049999999991</v>
      </c>
      <c r="L14">
        <f t="shared" si="3"/>
        <v>0.72028666666666663</v>
      </c>
    </row>
    <row r="15" spans="2:12" x14ac:dyDescent="0.25">
      <c r="B15" t="s">
        <v>8</v>
      </c>
      <c r="C15">
        <f>_xlfn.STDEV.S(C4:C9)</f>
        <v>6.9546013285450126E-2</v>
      </c>
      <c r="D15">
        <f t="shared" ref="D15:L15" si="4">_xlfn.STDEV.S(D4:D9)</f>
        <v>4.6597540686177864E-2</v>
      </c>
      <c r="E15">
        <f t="shared" si="4"/>
        <v>2.6512396457129241E-2</v>
      </c>
      <c r="F15">
        <f t="shared" si="4"/>
        <v>4.0483966893903399E-2</v>
      </c>
      <c r="G15">
        <f t="shared" si="4"/>
        <v>1.6551635118621972E-2</v>
      </c>
      <c r="H15">
        <f t="shared" si="4"/>
        <v>5.2115008999007832E-2</v>
      </c>
      <c r="I15">
        <f t="shared" si="4"/>
        <v>1.7936868519895E-2</v>
      </c>
      <c r="J15">
        <f t="shared" si="4"/>
        <v>3.6587861232928058E-2</v>
      </c>
      <c r="K15">
        <f t="shared" si="4"/>
        <v>1.6358401006822131E-2</v>
      </c>
      <c r="L15">
        <f t="shared" si="4"/>
        <v>2.1588337533646917E-2</v>
      </c>
    </row>
    <row r="29" spans="2:12" x14ac:dyDescent="0.25">
      <c r="B29" t="s">
        <v>22</v>
      </c>
      <c r="C29" t="s">
        <v>9</v>
      </c>
      <c r="D29" t="s">
        <v>10</v>
      </c>
      <c r="E29" t="s">
        <v>11</v>
      </c>
      <c r="F29" t="s">
        <v>12</v>
      </c>
      <c r="G29" t="s">
        <v>13</v>
      </c>
      <c r="H29" t="s">
        <v>14</v>
      </c>
      <c r="I29" t="s">
        <v>15</v>
      </c>
      <c r="J29" t="s">
        <v>16</v>
      </c>
      <c r="K29" t="s">
        <v>17</v>
      </c>
      <c r="L29" t="s">
        <v>18</v>
      </c>
    </row>
    <row r="30" spans="2:12" x14ac:dyDescent="0.25">
      <c r="B30" t="s">
        <v>1</v>
      </c>
      <c r="C30">
        <v>0.64336300000000002</v>
      </c>
      <c r="D30">
        <v>0.655111</v>
      </c>
      <c r="E30">
        <v>3.9745870000000001</v>
      </c>
      <c r="F30">
        <v>4.087777</v>
      </c>
      <c r="G30">
        <v>4.4234999999999998</v>
      </c>
      <c r="H30">
        <v>3.9491800000000001</v>
      </c>
      <c r="I30">
        <v>0.73430399999999996</v>
      </c>
      <c r="J30">
        <v>3.9438249999999999</v>
      </c>
      <c r="K30">
        <v>4.2503149999999996</v>
      </c>
      <c r="L30">
        <v>1.023428</v>
      </c>
    </row>
    <row r="31" spans="2:12" x14ac:dyDescent="0.25">
      <c r="B31" t="s">
        <v>2</v>
      </c>
      <c r="C31">
        <v>0.68437499999999996</v>
      </c>
      <c r="D31">
        <v>0.65191600000000005</v>
      </c>
      <c r="E31">
        <v>0.66342299999999998</v>
      </c>
      <c r="F31">
        <v>0.70268299999999995</v>
      </c>
      <c r="G31">
        <v>4.0645740000000004</v>
      </c>
      <c r="H31">
        <v>0.64803699999999997</v>
      </c>
      <c r="I31">
        <v>0.72913300000000003</v>
      </c>
      <c r="J31">
        <v>3.9154620000000002</v>
      </c>
      <c r="K31">
        <v>4.0144710000000003</v>
      </c>
      <c r="L31">
        <v>3.999574</v>
      </c>
    </row>
    <row r="32" spans="2:12" x14ac:dyDescent="0.25">
      <c r="B32" t="s">
        <v>3</v>
      </c>
      <c r="C32">
        <v>0.72006800000000004</v>
      </c>
      <c r="D32">
        <v>0.66353300000000004</v>
      </c>
      <c r="E32">
        <v>4.2248250000000001</v>
      </c>
      <c r="F32">
        <v>4.1177000000000001</v>
      </c>
      <c r="G32">
        <v>3.8617360000000001</v>
      </c>
      <c r="H32">
        <v>4.2251859999999999</v>
      </c>
      <c r="I32">
        <v>0.74330399999999996</v>
      </c>
      <c r="J32">
        <v>3.8743569999999998</v>
      </c>
      <c r="K32">
        <v>4.0012559999999997</v>
      </c>
      <c r="L32">
        <v>3.9590299999999998</v>
      </c>
    </row>
    <row r="33" spans="2:12" x14ac:dyDescent="0.25">
      <c r="B33" t="s">
        <v>4</v>
      </c>
      <c r="C33">
        <v>0.69392399999999999</v>
      </c>
      <c r="D33">
        <v>0.822492</v>
      </c>
      <c r="E33">
        <v>4.0987470000000004</v>
      </c>
      <c r="F33">
        <v>4.0645740000000004</v>
      </c>
      <c r="G33">
        <v>3.984496</v>
      </c>
      <c r="H33">
        <v>4.1831659999999999</v>
      </c>
      <c r="I33">
        <v>4.0212310000000002</v>
      </c>
      <c r="J33">
        <v>3.9753949999999998</v>
      </c>
      <c r="K33">
        <v>4.0435239999999997</v>
      </c>
      <c r="L33">
        <v>1.000348</v>
      </c>
    </row>
    <row r="34" spans="2:12" x14ac:dyDescent="0.25">
      <c r="B34" t="s">
        <v>5</v>
      </c>
      <c r="C34">
        <v>0.75421199999999999</v>
      </c>
      <c r="D34">
        <v>0.74822</v>
      </c>
      <c r="E34">
        <v>3.9147949999999998</v>
      </c>
      <c r="F34">
        <v>3.8617360000000001</v>
      </c>
      <c r="G34">
        <v>4.0051940000000004</v>
      </c>
      <c r="H34">
        <v>3.9931709999999998</v>
      </c>
      <c r="I34">
        <v>4.1082109999999998</v>
      </c>
      <c r="J34">
        <v>3.9955319999999999</v>
      </c>
      <c r="K34">
        <v>4.193454</v>
      </c>
      <c r="L34">
        <v>3.9150420000000001</v>
      </c>
    </row>
    <row r="35" spans="2:12" x14ac:dyDescent="0.25">
      <c r="B35" t="s">
        <v>6</v>
      </c>
      <c r="C35">
        <v>0.66671199999999997</v>
      </c>
      <c r="D35">
        <v>0.75031000000000003</v>
      </c>
      <c r="E35">
        <v>4.0581399999999999</v>
      </c>
      <c r="F35">
        <v>3.984496</v>
      </c>
      <c r="G35">
        <v>3.9737680000000002</v>
      </c>
      <c r="H35">
        <v>4.0859329999999998</v>
      </c>
      <c r="I35">
        <v>6.1234999999999999</v>
      </c>
      <c r="J35">
        <v>3.9753949999999998</v>
      </c>
      <c r="K35">
        <v>3.951606</v>
      </c>
      <c r="L35">
        <v>4.0043860000000002</v>
      </c>
    </row>
    <row r="36" spans="2:12" x14ac:dyDescent="0.25">
      <c r="B36" t="s">
        <v>19</v>
      </c>
      <c r="C36">
        <f>C40+C41</f>
        <v>0.73303406889939471</v>
      </c>
      <c r="D36">
        <f t="shared" ref="D36:L36" si="5">D40+D41</f>
        <v>0.78471813075549723</v>
      </c>
      <c r="E36">
        <f t="shared" si="5"/>
        <v>4.8774759987533791</v>
      </c>
      <c r="F36">
        <f t="shared" si="5"/>
        <v>4.8285688768471298</v>
      </c>
      <c r="G36">
        <f t="shared" si="5"/>
        <v>4.2457253197412061</v>
      </c>
      <c r="H36">
        <f t="shared" si="5"/>
        <v>4.9221893193939463</v>
      </c>
      <c r="I36">
        <f t="shared" si="5"/>
        <v>5.0677055621743641</v>
      </c>
      <c r="J36">
        <f t="shared" si="5"/>
        <v>3.9919356045062795</v>
      </c>
      <c r="K36">
        <f t="shared" si="5"/>
        <v>4.1941617833270808</v>
      </c>
      <c r="L36">
        <f t="shared" si="5"/>
        <v>4.5113007210524625</v>
      </c>
    </row>
    <row r="37" spans="2:12" x14ac:dyDescent="0.25">
      <c r="B37" t="s">
        <v>20</v>
      </c>
      <c r="C37">
        <f>C40-C41</f>
        <v>0.65451726443393865</v>
      </c>
      <c r="D37">
        <f t="shared" ref="D37:L37" si="6">D40-D41</f>
        <v>0.64580920257783603</v>
      </c>
      <c r="E37">
        <f t="shared" si="6"/>
        <v>2.1006963345799545</v>
      </c>
      <c r="F37">
        <f t="shared" si="6"/>
        <v>2.1110864564862037</v>
      </c>
      <c r="G37">
        <f t="shared" si="6"/>
        <v>3.8586973469254597</v>
      </c>
      <c r="H37">
        <f t="shared" si="6"/>
        <v>2.1060350139393877</v>
      </c>
      <c r="I37">
        <f t="shared" si="6"/>
        <v>0.41885543782563461</v>
      </c>
      <c r="J37">
        <f t="shared" si="6"/>
        <v>3.9013863954937209</v>
      </c>
      <c r="K37">
        <f t="shared" si="6"/>
        <v>3.9573802166729179</v>
      </c>
      <c r="L37">
        <f t="shared" si="6"/>
        <v>1.4559686122808715</v>
      </c>
    </row>
    <row r="38" spans="2:12" x14ac:dyDescent="0.25">
      <c r="B38" t="s">
        <v>21</v>
      </c>
      <c r="C38">
        <f>C36-C37</f>
        <v>7.8516804465456058E-2</v>
      </c>
      <c r="D38">
        <f t="shared" ref="D38" si="7">D36-D37</f>
        <v>0.13890892817766121</v>
      </c>
      <c r="E38">
        <f t="shared" ref="E38" si="8">E36-E37</f>
        <v>2.7767796641734246</v>
      </c>
      <c r="F38">
        <f t="shared" ref="F38" si="9">F36-F37</f>
        <v>2.717482420360926</v>
      </c>
      <c r="G38">
        <f t="shared" ref="G38" si="10">G36-G37</f>
        <v>0.38702797281574641</v>
      </c>
      <c r="H38">
        <f t="shared" ref="H38" si="11">H36-H37</f>
        <v>2.8161543054545586</v>
      </c>
      <c r="I38">
        <f t="shared" ref="I38" si="12">I36-I37</f>
        <v>4.6488501243487299</v>
      </c>
      <c r="J38">
        <f t="shared" ref="J38" si="13">J36-J37</f>
        <v>9.0549209012558585E-2</v>
      </c>
      <c r="K38">
        <f t="shared" ref="K38" si="14">K36-K37</f>
        <v>0.23678156665416283</v>
      </c>
      <c r="L38">
        <f t="shared" ref="L38" si="15">L36-L37</f>
        <v>3.0553321087715908</v>
      </c>
    </row>
    <row r="40" spans="2:12" x14ac:dyDescent="0.25">
      <c r="B40" t="s">
        <v>7</v>
      </c>
      <c r="C40">
        <f>AVERAGE(C30:C35)</f>
        <v>0.69377566666666668</v>
      </c>
      <c r="D40">
        <f>AVERAGE(D30:D35)</f>
        <v>0.71526366666666663</v>
      </c>
      <c r="E40">
        <f t="shared" ref="D40:L40" si="16">AVERAGE(E30:E35)</f>
        <v>3.4890861666666666</v>
      </c>
      <c r="F40">
        <f t="shared" si="16"/>
        <v>3.4698276666666668</v>
      </c>
      <c r="G40">
        <f t="shared" si="16"/>
        <v>4.0522113333333332</v>
      </c>
      <c r="H40">
        <f t="shared" si="16"/>
        <v>3.514112166666667</v>
      </c>
      <c r="I40">
        <f t="shared" si="16"/>
        <v>2.7432804999999996</v>
      </c>
      <c r="J40">
        <f t="shared" si="16"/>
        <v>3.9466610000000002</v>
      </c>
      <c r="K40">
        <f t="shared" si="16"/>
        <v>4.0757709999999996</v>
      </c>
      <c r="L40">
        <f t="shared" si="16"/>
        <v>2.9836346666666671</v>
      </c>
    </row>
    <row r="41" spans="2:12" x14ac:dyDescent="0.25">
      <c r="B41" t="s">
        <v>8</v>
      </c>
      <c r="C41">
        <f>_xlfn.STDEV.S(C30:C35)</f>
        <v>3.9258402232728057E-2</v>
      </c>
      <c r="D41">
        <f t="shared" ref="D41:L41" si="17">_xlfn.STDEV.S(D30:D35)</f>
        <v>6.9454464088830645E-2</v>
      </c>
      <c r="E41">
        <f t="shared" si="17"/>
        <v>1.3883898320867121</v>
      </c>
      <c r="F41">
        <f t="shared" si="17"/>
        <v>1.358741210180463</v>
      </c>
      <c r="G41">
        <f t="shared" si="17"/>
        <v>0.1935139864078734</v>
      </c>
      <c r="H41">
        <f t="shared" si="17"/>
        <v>1.4080771527272793</v>
      </c>
      <c r="I41">
        <f t="shared" si="17"/>
        <v>2.324425062174365</v>
      </c>
      <c r="J41">
        <f t="shared" si="17"/>
        <v>4.5274604506279174E-2</v>
      </c>
      <c r="K41">
        <f t="shared" si="17"/>
        <v>0.1183907833270816</v>
      </c>
      <c r="L41">
        <f t="shared" si="17"/>
        <v>1.5276660543857956</v>
      </c>
    </row>
    <row r="56" spans="2:12" x14ac:dyDescent="0.25">
      <c r="B56" t="s">
        <v>23</v>
      </c>
      <c r="C56" t="s">
        <v>9</v>
      </c>
      <c r="D56" t="s">
        <v>10</v>
      </c>
      <c r="E56" t="s">
        <v>11</v>
      </c>
      <c r="F56" t="s">
        <v>12</v>
      </c>
      <c r="G56" t="s">
        <v>13</v>
      </c>
      <c r="H56" t="s">
        <v>14</v>
      </c>
      <c r="I56" t="s">
        <v>15</v>
      </c>
      <c r="J56" t="s">
        <v>16</v>
      </c>
      <c r="K56" t="s">
        <v>17</v>
      </c>
      <c r="L56" t="s">
        <v>18</v>
      </c>
    </row>
    <row r="57" spans="2:12" x14ac:dyDescent="0.25">
      <c r="B57" t="s">
        <v>1</v>
      </c>
      <c r="C57">
        <v>1.646101</v>
      </c>
      <c r="D57">
        <v>1.0885450000000001</v>
      </c>
      <c r="E57">
        <v>1.37795</v>
      </c>
      <c r="F57">
        <v>0.78068099999999996</v>
      </c>
      <c r="G57">
        <v>0.83026599999999995</v>
      </c>
      <c r="H57">
        <v>0.69693899999999998</v>
      </c>
      <c r="I57">
        <v>0.75350200000000001</v>
      </c>
      <c r="J57">
        <v>0.75527200000000005</v>
      </c>
      <c r="K57">
        <v>1.998326</v>
      </c>
      <c r="L57">
        <v>0.72684599999999999</v>
      </c>
    </row>
    <row r="58" spans="2:12" x14ac:dyDescent="0.25">
      <c r="B58" t="s">
        <v>2</v>
      </c>
      <c r="C58">
        <v>1.480164</v>
      </c>
      <c r="D58">
        <v>1.092643</v>
      </c>
      <c r="E58">
        <v>0.74715399999999998</v>
      </c>
      <c r="F58">
        <v>0.78361999999999998</v>
      </c>
      <c r="G58">
        <v>0.80556899999999998</v>
      </c>
      <c r="H58">
        <v>0.78615500000000005</v>
      </c>
      <c r="I58">
        <v>0.78134499999999996</v>
      </c>
      <c r="J58">
        <v>0.83407799999999999</v>
      </c>
      <c r="K58">
        <v>0.73828400000000005</v>
      </c>
      <c r="L58">
        <v>0.82470100000000002</v>
      </c>
    </row>
    <row r="59" spans="2:12" x14ac:dyDescent="0.25">
      <c r="B59" t="s">
        <v>3</v>
      </c>
      <c r="C59">
        <v>4.6811749999999996</v>
      </c>
      <c r="D59">
        <v>2.056327</v>
      </c>
      <c r="E59">
        <v>1.0428820000000001</v>
      </c>
      <c r="F59">
        <v>0.74350899999999998</v>
      </c>
      <c r="G59">
        <v>0.69485200000000003</v>
      </c>
      <c r="H59">
        <v>0.75814000000000004</v>
      </c>
      <c r="I59">
        <v>0.78774500000000003</v>
      </c>
      <c r="J59">
        <v>0.78593500000000005</v>
      </c>
      <c r="K59">
        <v>0.71398600000000001</v>
      </c>
      <c r="L59">
        <v>1.044996</v>
      </c>
    </row>
    <row r="60" spans="2:12" x14ac:dyDescent="0.25">
      <c r="B60" t="s">
        <v>4</v>
      </c>
      <c r="C60">
        <v>1.3176429999999999</v>
      </c>
      <c r="D60">
        <v>3.9429059999999998</v>
      </c>
      <c r="E60">
        <v>0.74945499999999998</v>
      </c>
      <c r="F60">
        <v>0.75904700000000003</v>
      </c>
      <c r="G60">
        <v>0.80556899999999998</v>
      </c>
      <c r="H60">
        <v>0.75350200000000001</v>
      </c>
      <c r="I60">
        <v>0.73146299999999997</v>
      </c>
      <c r="J60">
        <v>1.090411</v>
      </c>
      <c r="K60">
        <v>0.76395100000000005</v>
      </c>
      <c r="L60">
        <v>1.0614870000000001</v>
      </c>
    </row>
    <row r="61" spans="2:12" x14ac:dyDescent="0.25">
      <c r="B61" t="s">
        <v>5</v>
      </c>
      <c r="C61">
        <v>1.54599</v>
      </c>
      <c r="D61">
        <v>2.2879079999999998</v>
      </c>
      <c r="E61">
        <v>0.75904700000000003</v>
      </c>
      <c r="F61">
        <v>0.78068099999999996</v>
      </c>
      <c r="G61">
        <v>0.67488099999999995</v>
      </c>
      <c r="H61">
        <v>0.78593500000000005</v>
      </c>
      <c r="I61">
        <v>0.80155299999999996</v>
      </c>
      <c r="J61">
        <v>0.76313399999999998</v>
      </c>
      <c r="K61">
        <v>0.75271699999999997</v>
      </c>
      <c r="L61">
        <v>1.124995</v>
      </c>
    </row>
    <row r="62" spans="2:12" x14ac:dyDescent="0.25">
      <c r="B62" t="s">
        <v>6</v>
      </c>
      <c r="C62">
        <v>4.0102630000000001</v>
      </c>
      <c r="D62">
        <v>1.49701</v>
      </c>
      <c r="E62">
        <v>0.74350899999999998</v>
      </c>
      <c r="F62">
        <v>0.78361999999999998</v>
      </c>
      <c r="G62">
        <v>0.69485200000000003</v>
      </c>
      <c r="H62">
        <v>0.78774500000000003</v>
      </c>
      <c r="I62">
        <v>1.044996</v>
      </c>
      <c r="J62">
        <v>0.76920999999999995</v>
      </c>
      <c r="K62">
        <v>0.74011300000000002</v>
      </c>
      <c r="L62">
        <v>1.049045</v>
      </c>
    </row>
    <row r="63" spans="2:12" x14ac:dyDescent="0.25">
      <c r="B63" t="s">
        <v>19</v>
      </c>
      <c r="C63">
        <f>C67+C68</f>
        <v>3.9367756630214292</v>
      </c>
      <c r="D63">
        <f t="shared" ref="D63:L63" si="18">D67+D68</f>
        <v>3.0682616318980416</v>
      </c>
      <c r="E63">
        <f t="shared" si="18"/>
        <v>1.1637815614111771</v>
      </c>
      <c r="F63">
        <f t="shared" si="18"/>
        <v>0.78859386788054775</v>
      </c>
      <c r="G63">
        <f t="shared" si="18"/>
        <v>0.82076628005212859</v>
      </c>
      <c r="H63">
        <f t="shared" si="18"/>
        <v>0.79643711188086508</v>
      </c>
      <c r="I63">
        <f t="shared" si="18"/>
        <v>0.9313938306586319</v>
      </c>
      <c r="J63">
        <f t="shared" si="18"/>
        <v>0.96221097232505604</v>
      </c>
      <c r="K63">
        <f t="shared" si="18"/>
        <v>1.4644725165848338</v>
      </c>
      <c r="L63">
        <f t="shared" si="18"/>
        <v>1.1297945678539212</v>
      </c>
    </row>
    <row r="64" spans="2:12" x14ac:dyDescent="0.25">
      <c r="B64" t="s">
        <v>20</v>
      </c>
      <c r="C64">
        <f>C67-C68</f>
        <v>0.95700300364523772</v>
      </c>
      <c r="D64">
        <f t="shared" ref="D64:L64" si="19">D67-D68</f>
        <v>0.92018470143529107</v>
      </c>
      <c r="E64">
        <f t="shared" si="19"/>
        <v>0.64288410525548967</v>
      </c>
      <c r="F64">
        <f t="shared" si="19"/>
        <v>0.75512546545278525</v>
      </c>
      <c r="G64">
        <f t="shared" si="19"/>
        <v>0.68123005328120489</v>
      </c>
      <c r="H64">
        <f t="shared" si="19"/>
        <v>0.72636822145246827</v>
      </c>
      <c r="I64">
        <f t="shared" si="19"/>
        <v>0.7021408360080349</v>
      </c>
      <c r="J64">
        <f t="shared" si="19"/>
        <v>0.70380236100827753</v>
      </c>
      <c r="K64">
        <f t="shared" si="19"/>
        <v>0.43798648341516599</v>
      </c>
      <c r="L64">
        <f t="shared" si="19"/>
        <v>0.81422876547941214</v>
      </c>
    </row>
    <row r="65" spans="2:12" x14ac:dyDescent="0.25">
      <c r="B65" t="s">
        <v>21</v>
      </c>
      <c r="C65">
        <f>C63-C64</f>
        <v>2.9797726593761915</v>
      </c>
      <c r="D65">
        <f t="shared" ref="D65" si="20">D63-D64</f>
        <v>2.1480769304627505</v>
      </c>
      <c r="E65">
        <f t="shared" ref="E65" si="21">E63-E64</f>
        <v>0.52089745615568739</v>
      </c>
      <c r="F65">
        <f t="shared" ref="F65" si="22">F63-F64</f>
        <v>3.34684024277625E-2</v>
      </c>
      <c r="G65">
        <f t="shared" ref="G65" si="23">G63-G64</f>
        <v>0.1395362267709237</v>
      </c>
      <c r="H65">
        <f t="shared" ref="H65" si="24">H63-H64</f>
        <v>7.0068890428396813E-2</v>
      </c>
      <c r="I65">
        <f t="shared" ref="I65" si="25">I63-I64</f>
        <v>0.22925299465059701</v>
      </c>
      <c r="J65">
        <f t="shared" ref="J65" si="26">J63-J64</f>
        <v>0.2584086113167785</v>
      </c>
      <c r="K65">
        <f t="shared" ref="K65" si="27">K63-K64</f>
        <v>1.0264860331696677</v>
      </c>
      <c r="L65">
        <f t="shared" ref="L65" si="28">L63-L64</f>
        <v>0.31556580237450904</v>
      </c>
    </row>
    <row r="67" spans="2:12" x14ac:dyDescent="0.25">
      <c r="B67" t="s">
        <v>7</v>
      </c>
      <c r="C67">
        <f>AVERAGE(C57:C62)</f>
        <v>2.4468893333333335</v>
      </c>
      <c r="D67">
        <f>AVERAGE(D57:D62)</f>
        <v>1.9942231666666663</v>
      </c>
      <c r="E67">
        <f t="shared" ref="D67:L67" si="29">AVERAGE(E57:E62)</f>
        <v>0.90333283333333336</v>
      </c>
      <c r="F67">
        <f t="shared" si="29"/>
        <v>0.7718596666666665</v>
      </c>
      <c r="G67">
        <f t="shared" si="29"/>
        <v>0.75099816666666674</v>
      </c>
      <c r="H67">
        <f t="shared" si="29"/>
        <v>0.76140266666666667</v>
      </c>
      <c r="I67">
        <f t="shared" si="29"/>
        <v>0.8167673333333334</v>
      </c>
      <c r="J67">
        <f t="shared" si="29"/>
        <v>0.83300666666666678</v>
      </c>
      <c r="K67">
        <f t="shared" si="29"/>
        <v>0.95122949999999984</v>
      </c>
      <c r="L67">
        <f t="shared" si="29"/>
        <v>0.97201166666666661</v>
      </c>
    </row>
    <row r="68" spans="2:12" x14ac:dyDescent="0.25">
      <c r="B68" t="s">
        <v>8</v>
      </c>
      <c r="C68">
        <f>_xlfn.STDEV.S(C57:C62)</f>
        <v>1.4898863296880958</v>
      </c>
      <c r="D68">
        <f t="shared" ref="D68:L68" si="30">_xlfn.STDEV.S(D57:D62)</f>
        <v>1.0740384652313753</v>
      </c>
      <c r="E68">
        <f t="shared" si="30"/>
        <v>0.26044872807784364</v>
      </c>
      <c r="F68">
        <f t="shared" si="30"/>
        <v>1.6734201213881299E-2</v>
      </c>
      <c r="G68">
        <f t="shared" si="30"/>
        <v>6.9768113385461877E-2</v>
      </c>
      <c r="H68">
        <f t="shared" si="30"/>
        <v>3.5034445214198393E-2</v>
      </c>
      <c r="I68">
        <f t="shared" si="30"/>
        <v>0.11462649732529848</v>
      </c>
      <c r="J68">
        <f t="shared" si="30"/>
        <v>0.12920430565838925</v>
      </c>
      <c r="K68">
        <f t="shared" si="30"/>
        <v>0.51324301658483384</v>
      </c>
      <c r="L68">
        <f t="shared" si="30"/>
        <v>0.15778290118725447</v>
      </c>
    </row>
    <row r="91" spans="2:12" x14ac:dyDescent="0.25">
      <c r="B91" t="s">
        <v>24</v>
      </c>
      <c r="C91" t="s">
        <v>9</v>
      </c>
      <c r="D91" t="s">
        <v>10</v>
      </c>
      <c r="E91" t="s">
        <v>11</v>
      </c>
      <c r="F91" t="s">
        <v>12</v>
      </c>
      <c r="G91" t="s">
        <v>13</v>
      </c>
      <c r="H91" t="s">
        <v>14</v>
      </c>
      <c r="I91" t="s">
        <v>15</v>
      </c>
      <c r="J91" t="s">
        <v>16</v>
      </c>
      <c r="K91" t="s">
        <v>17</v>
      </c>
      <c r="L91" t="s">
        <v>18</v>
      </c>
    </row>
    <row r="92" spans="2:12" x14ac:dyDescent="0.25">
      <c r="B92" t="s">
        <v>1</v>
      </c>
      <c r="C92">
        <v>4.7358849999999997</v>
      </c>
      <c r="D92">
        <v>4.7032420000000004</v>
      </c>
      <c r="E92">
        <v>4.0471430000000002</v>
      </c>
      <c r="F92">
        <v>4.0287139999999999</v>
      </c>
      <c r="G92">
        <v>4.2903799999999999</v>
      </c>
      <c r="H92">
        <v>5.2572809999999999</v>
      </c>
      <c r="I92">
        <v>4.1235270000000002</v>
      </c>
      <c r="J92">
        <v>3.9322520000000001</v>
      </c>
      <c r="K92">
        <v>3.9713859999999999</v>
      </c>
      <c r="L92">
        <v>3.9538880000000001</v>
      </c>
    </row>
    <row r="93" spans="2:12" x14ac:dyDescent="0.25">
      <c r="B93" t="s">
        <v>2</v>
      </c>
      <c r="C93">
        <v>7.4328719999999997</v>
      </c>
      <c r="D93">
        <v>4.6318669999999997</v>
      </c>
      <c r="E93">
        <v>3.985471</v>
      </c>
      <c r="F93">
        <v>4.1171680000000004</v>
      </c>
      <c r="G93">
        <v>5.2572809999999999</v>
      </c>
      <c r="H93">
        <v>4.2306429999999997</v>
      </c>
      <c r="I93">
        <v>4.0500129999999999</v>
      </c>
      <c r="J93">
        <v>3.9429850000000002</v>
      </c>
      <c r="K93">
        <v>1.004405</v>
      </c>
      <c r="L93">
        <v>3.8651580000000001</v>
      </c>
    </row>
    <row r="94" spans="2:12" x14ac:dyDescent="0.25">
      <c r="B94" t="s">
        <v>3</v>
      </c>
      <c r="C94">
        <v>7.5090820000000003</v>
      </c>
      <c r="D94">
        <v>4.8763339999999999</v>
      </c>
      <c r="E94">
        <v>3.9655860000000001</v>
      </c>
      <c r="F94">
        <v>4.081264</v>
      </c>
      <c r="G94">
        <v>4.2903799999999999</v>
      </c>
      <c r="H94">
        <v>3.96387</v>
      </c>
      <c r="I94">
        <v>4.1235270000000002</v>
      </c>
      <c r="J94">
        <v>4.0638199999999998</v>
      </c>
      <c r="K94">
        <v>3.857818</v>
      </c>
      <c r="L94">
        <v>4.0659450000000001</v>
      </c>
    </row>
    <row r="95" spans="2:12" x14ac:dyDescent="0.25">
      <c r="B95" t="s">
        <v>4</v>
      </c>
      <c r="C95">
        <v>5.0441279999999997</v>
      </c>
      <c r="D95">
        <v>7.5420489999999996</v>
      </c>
      <c r="E95">
        <v>4.3149579999999998</v>
      </c>
      <c r="F95">
        <v>3.9487950000000001</v>
      </c>
      <c r="G95">
        <v>5.2572809999999999</v>
      </c>
      <c r="H95">
        <v>3.8579669999999999</v>
      </c>
      <c r="I95">
        <v>3.9238879999999998</v>
      </c>
      <c r="J95">
        <v>3.9447559999999999</v>
      </c>
      <c r="K95">
        <v>3.9921030000000002</v>
      </c>
      <c r="L95">
        <v>4.0968020000000003</v>
      </c>
    </row>
    <row r="96" spans="2:12" x14ac:dyDescent="0.25">
      <c r="B96" t="s">
        <v>5</v>
      </c>
      <c r="C96">
        <v>4.9041550000000003</v>
      </c>
      <c r="D96">
        <v>4.7357500000000003</v>
      </c>
      <c r="E96">
        <v>4.0737030000000001</v>
      </c>
      <c r="F96">
        <v>3.8450340000000001</v>
      </c>
      <c r="G96">
        <v>4.2306429999999997</v>
      </c>
      <c r="H96">
        <v>3.8897889999999999</v>
      </c>
      <c r="I96">
        <v>3.9794510000000001</v>
      </c>
      <c r="J96">
        <v>3.8264480000000001</v>
      </c>
      <c r="K96">
        <v>1.034057</v>
      </c>
      <c r="L96">
        <v>3.9538880000000001</v>
      </c>
    </row>
    <row r="97" spans="2:12" x14ac:dyDescent="0.25">
      <c r="B97" t="s">
        <v>6</v>
      </c>
      <c r="C97">
        <v>7.387664</v>
      </c>
      <c r="D97">
        <v>6.7267770000000002</v>
      </c>
      <c r="E97">
        <v>4.397475</v>
      </c>
      <c r="F97">
        <v>3.9564330000000001</v>
      </c>
      <c r="G97">
        <v>4.0051940000000004</v>
      </c>
      <c r="H97">
        <v>3.8983270000000001</v>
      </c>
      <c r="I97">
        <v>2.5926459999999998</v>
      </c>
      <c r="J97">
        <v>3.8996770000000001</v>
      </c>
      <c r="K97">
        <v>3.8896220000000001</v>
      </c>
      <c r="L97">
        <v>1.363102</v>
      </c>
    </row>
    <row r="98" spans="2:12" x14ac:dyDescent="0.25">
      <c r="B98" t="s">
        <v>19</v>
      </c>
      <c r="C98">
        <f>C102+C103</f>
        <v>7.5687730795558599</v>
      </c>
      <c r="D98">
        <f t="shared" ref="D98:L98" si="31">D102+D103</f>
        <v>6.803179880182098</v>
      </c>
      <c r="E98">
        <f t="shared" si="31"/>
        <v>4.3116670967004946</v>
      </c>
      <c r="F98">
        <f t="shared" si="31"/>
        <v>4.0958399897928262</v>
      </c>
      <c r="G98">
        <f t="shared" si="31"/>
        <v>5.109077373324852</v>
      </c>
      <c r="H98">
        <f t="shared" si="31"/>
        <v>4.7264912911007118</v>
      </c>
      <c r="I98">
        <f t="shared" si="31"/>
        <v>4.3950118538342959</v>
      </c>
      <c r="J98">
        <f t="shared" si="31"/>
        <v>4.0121807724461966</v>
      </c>
      <c r="K98">
        <f t="shared" si="31"/>
        <v>4.4610293547850315</v>
      </c>
      <c r="L98">
        <f t="shared" si="31"/>
        <v>4.6243472942862986</v>
      </c>
    </row>
    <row r="99" spans="2:12" x14ac:dyDescent="0.25">
      <c r="B99" t="s">
        <v>20</v>
      </c>
      <c r="C99">
        <f>C102-C103</f>
        <v>4.7691555871108049</v>
      </c>
      <c r="D99">
        <f t="shared" ref="D99:L99" si="32">D102-D103</f>
        <v>4.2688264531512345</v>
      </c>
      <c r="E99">
        <f t="shared" si="32"/>
        <v>3.9497782366328398</v>
      </c>
      <c r="F99">
        <f t="shared" si="32"/>
        <v>3.8966293435405071</v>
      </c>
      <c r="G99">
        <f t="shared" si="32"/>
        <v>4.0013089600084806</v>
      </c>
      <c r="H99">
        <f t="shared" si="32"/>
        <v>3.6394677088992862</v>
      </c>
      <c r="I99">
        <f t="shared" si="32"/>
        <v>3.2026721461657024</v>
      </c>
      <c r="J99">
        <f t="shared" si="32"/>
        <v>3.8577985608871361</v>
      </c>
      <c r="K99">
        <f t="shared" si="32"/>
        <v>1.4554343118816344</v>
      </c>
      <c r="L99">
        <f t="shared" si="32"/>
        <v>2.4752470390470345</v>
      </c>
    </row>
    <row r="100" spans="2:12" x14ac:dyDescent="0.25">
      <c r="B100" t="s">
        <v>21</v>
      </c>
      <c r="C100">
        <f>C98-C99</f>
        <v>2.799617492445055</v>
      </c>
      <c r="D100">
        <f t="shared" ref="D100" si="33">D98-D99</f>
        <v>2.5343534270308634</v>
      </c>
      <c r="E100">
        <f t="shared" ref="E100" si="34">E98-E99</f>
        <v>0.36188886006765486</v>
      </c>
      <c r="F100">
        <f t="shared" ref="F100" si="35">F98-F99</f>
        <v>0.1992106462523191</v>
      </c>
      <c r="G100">
        <f t="shared" ref="G100" si="36">G98-G99</f>
        <v>1.1077684133163714</v>
      </c>
      <c r="H100">
        <f t="shared" ref="H100" si="37">H98-H99</f>
        <v>1.0870235822014256</v>
      </c>
      <c r="I100">
        <f t="shared" ref="I100" si="38">I98-I99</f>
        <v>1.1923397076685935</v>
      </c>
      <c r="J100">
        <f t="shared" ref="J100" si="39">J98-J99</f>
        <v>0.15438221155906051</v>
      </c>
      <c r="K100">
        <f t="shared" ref="K100" si="40">K98-K99</f>
        <v>3.0055950429033969</v>
      </c>
      <c r="L100">
        <f t="shared" ref="L100" si="41">L98-L99</f>
        <v>2.1491002552392642</v>
      </c>
    </row>
    <row r="102" spans="2:12" x14ac:dyDescent="0.25">
      <c r="B102" t="s">
        <v>7</v>
      </c>
      <c r="C102">
        <f>AVERAGE(C92:C97)</f>
        <v>6.1689643333333324</v>
      </c>
      <c r="D102">
        <f t="shared" ref="D102:L102" si="42">AVERAGE(D92:D97)</f>
        <v>5.5360031666666663</v>
      </c>
      <c r="E102">
        <f t="shared" si="42"/>
        <v>4.1307226666666672</v>
      </c>
      <c r="F102">
        <f t="shared" si="42"/>
        <v>3.9962346666666666</v>
      </c>
      <c r="G102">
        <f t="shared" si="42"/>
        <v>4.5551931666666663</v>
      </c>
      <c r="H102">
        <f t="shared" si="42"/>
        <v>4.1829794999999992</v>
      </c>
      <c r="I102">
        <f t="shared" si="42"/>
        <v>3.7988419999999992</v>
      </c>
      <c r="J102">
        <f t="shared" si="42"/>
        <v>3.9349896666666666</v>
      </c>
      <c r="K102">
        <f t="shared" si="42"/>
        <v>2.9582318333333331</v>
      </c>
      <c r="L102">
        <f t="shared" si="42"/>
        <v>3.5497971666666666</v>
      </c>
    </row>
    <row r="103" spans="2:12" x14ac:dyDescent="0.25">
      <c r="B103" t="s">
        <v>8</v>
      </c>
      <c r="C103">
        <f>_xlfn.STDEV.S(C92:C97)</f>
        <v>1.3998087462225277</v>
      </c>
      <c r="D103">
        <f t="shared" ref="D103:L103" si="43">_xlfn.STDEV.S(D92:D97)</f>
        <v>1.2671767135154319</v>
      </c>
      <c r="E103">
        <f t="shared" si="43"/>
        <v>0.18094443003382737</v>
      </c>
      <c r="F103">
        <f t="shared" si="43"/>
        <v>9.9605323126159676E-2</v>
      </c>
      <c r="G103">
        <f t="shared" si="43"/>
        <v>0.55388420665818572</v>
      </c>
      <c r="H103">
        <f t="shared" si="43"/>
        <v>0.5435117911007129</v>
      </c>
      <c r="I103">
        <f t="shared" si="43"/>
        <v>0.59616985383429677</v>
      </c>
      <c r="J103">
        <f t="shared" si="43"/>
        <v>7.7191105779530395E-2</v>
      </c>
      <c r="K103">
        <f t="shared" si="43"/>
        <v>1.5027975214516986</v>
      </c>
      <c r="L103">
        <f t="shared" si="43"/>
        <v>1.0745501276196321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Foster F. Ellis</dc:creator>
  <cp:lastModifiedBy>Foster F. Ellis</cp:lastModifiedBy>
  <dcterms:created xsi:type="dcterms:W3CDTF">2025-11-28T21:40:14Z</dcterms:created>
  <dcterms:modified xsi:type="dcterms:W3CDTF">2025-11-29T01:47:01Z</dcterms:modified>
</cp:coreProperties>
</file>